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7442B15C-02D8-4EA8-8E74-593865383CA6}" xr6:coauthVersionLast="45" xr6:coauthVersionMax="45" xr10:uidLastSave="{00000000-0000-0000-0000-000000000000}"/>
  <bookViews>
    <workbookView xWindow="-120" yWindow="-120" windowWidth="29040" windowHeight="15990" activeTab="2" xr2:uid="{00000000-000D-0000-FFFF-FFFF00000000}"/>
  </bookViews>
  <sheets>
    <sheet name="CL_Bird_Survey_Data_2020_0717" sheetId="1" r:id="rId1"/>
    <sheet name="PTable" sheetId="2" r:id="rId2"/>
    <sheet name="Final_Count" sheetId="3" r:id="rId3"/>
  </sheets>
  <definedNames>
    <definedName name="_xlnm._FilterDatabase" localSheetId="0" hidden="1">CL_Bird_Survey_Data_2020_0717!$A$1:$AE$147</definedName>
  </definedNames>
  <calcPr calcId="191029" calcOnSave="0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28" i="1" l="1"/>
  <c r="C129" i="1"/>
  <c r="C10" i="1"/>
  <c r="C35" i="1"/>
  <c r="C31" i="1"/>
  <c r="C130" i="1"/>
  <c r="C30" i="1"/>
  <c r="C66" i="1"/>
  <c r="C118" i="1"/>
  <c r="C76" i="1"/>
  <c r="C53" i="1"/>
  <c r="C32" i="1"/>
  <c r="C120" i="1"/>
  <c r="C11" i="1"/>
  <c r="C41" i="1"/>
  <c r="C12" i="1"/>
  <c r="C54" i="1"/>
  <c r="C111" i="1"/>
  <c r="C83" i="1"/>
  <c r="C84" i="1"/>
  <c r="C103" i="1"/>
  <c r="C67" i="1"/>
  <c r="C68" i="1"/>
  <c r="C104" i="1"/>
  <c r="C57" i="1"/>
  <c r="C72" i="1"/>
  <c r="C2" i="1"/>
  <c r="C121" i="1"/>
  <c r="C77" i="1"/>
  <c r="C105" i="1"/>
  <c r="C19" i="1"/>
  <c r="C28" i="1"/>
  <c r="C86" i="1"/>
  <c r="C138" i="1"/>
  <c r="C143" i="1"/>
  <c r="C139" i="1"/>
  <c r="C75" i="1"/>
  <c r="C59" i="1"/>
  <c r="C131" i="1"/>
  <c r="C20" i="1"/>
  <c r="C132" i="1"/>
  <c r="C100" i="1"/>
  <c r="C144" i="1"/>
  <c r="C101" i="1"/>
  <c r="C145" i="1"/>
  <c r="C133" i="1"/>
  <c r="C62" i="1"/>
  <c r="C34" i="1"/>
  <c r="C45" i="1"/>
  <c r="C124" i="1"/>
  <c r="C97" i="1"/>
  <c r="C140" i="1"/>
  <c r="C119" i="1"/>
  <c r="C141" i="1"/>
  <c r="C91" i="1"/>
  <c r="C47" i="1"/>
  <c r="C63" i="1"/>
  <c r="C48" i="1"/>
  <c r="C92" i="1"/>
  <c r="C64" i="1"/>
  <c r="C42" i="1"/>
  <c r="C6" i="1"/>
  <c r="C16" i="1"/>
  <c r="C93" i="1"/>
  <c r="C24" i="1"/>
  <c r="C26" i="1"/>
  <c r="C94" i="1"/>
  <c r="C27" i="1"/>
  <c r="C56" i="1"/>
  <c r="C82" i="1"/>
  <c r="C125" i="1"/>
  <c r="C95" i="1"/>
  <c r="C116" i="1"/>
  <c r="C110" i="1"/>
  <c r="C147" i="1"/>
  <c r="C137" i="1"/>
  <c r="C61" i="1"/>
  <c r="C13" i="1"/>
  <c r="C98" i="1"/>
  <c r="C85" i="1"/>
  <c r="C107" i="1"/>
  <c r="C117" i="1"/>
  <c r="C36" i="1"/>
  <c r="C3" i="1"/>
  <c r="C7" i="1"/>
  <c r="C112" i="1"/>
  <c r="C71" i="1"/>
  <c r="C78" i="1"/>
  <c r="C79" i="1"/>
  <c r="C115" i="1"/>
  <c r="C113" i="1"/>
  <c r="C58" i="1"/>
  <c r="C33" i="1"/>
  <c r="C55" i="1"/>
  <c r="C87" i="1"/>
  <c r="C8" i="1"/>
  <c r="C14" i="1"/>
  <c r="C88" i="1"/>
  <c r="C21" i="1"/>
  <c r="C123" i="1"/>
  <c r="C96" i="1"/>
  <c r="C60" i="1"/>
  <c r="C69" i="1"/>
  <c r="C22" i="1"/>
  <c r="C142" i="1"/>
  <c r="C89" i="1"/>
  <c r="C146" i="1"/>
  <c r="C102" i="1"/>
  <c r="C90" i="1"/>
  <c r="C46" i="1"/>
  <c r="C122" i="1"/>
  <c r="C9" i="1"/>
  <c r="C18" i="1"/>
  <c r="C108" i="1"/>
  <c r="C134" i="1"/>
  <c r="C49" i="1"/>
  <c r="C126" i="1"/>
  <c r="C15" i="1"/>
  <c r="C50" i="1"/>
  <c r="C80" i="1"/>
  <c r="C81" i="1"/>
  <c r="C37" i="1"/>
  <c r="C38" i="1"/>
  <c r="C4" i="1"/>
  <c r="C109" i="1"/>
  <c r="C39" i="1"/>
  <c r="C5" i="1"/>
  <c r="C40" i="1"/>
  <c r="C43" i="1"/>
  <c r="C114" i="1"/>
  <c r="C74" i="1"/>
  <c r="C106" i="1"/>
  <c r="C70" i="1"/>
  <c r="C23" i="1"/>
  <c r="C51" i="1"/>
  <c r="C29" i="1"/>
  <c r="C73" i="1"/>
  <c r="C127" i="1"/>
  <c r="C17" i="1"/>
  <c r="C44" i="1"/>
  <c r="C65" i="1"/>
  <c r="C52" i="1"/>
  <c r="C135" i="1"/>
  <c r="C99" i="1"/>
  <c r="C136" i="1"/>
  <c r="C25" i="1"/>
</calcChain>
</file>

<file path=xl/sharedStrings.xml><?xml version="1.0" encoding="utf-8"?>
<sst xmlns="http://schemas.openxmlformats.org/spreadsheetml/2006/main" count="1055" uniqueCount="261">
  <si>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</si>
  <si>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</si>
  <si>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</si>
  <si>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</si>
  <si>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</si>
  <si>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</si>
  <si>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</si>
  <si>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</si>
  <si>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</si>
  <si>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</si>
  <si>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</si>
  <si>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</si>
  <si>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</si>
  <si>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</si>
  <si>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</si>
  <si>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</si>
  <si>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</si>
  <si>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</si>
  <si>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</si>
  <si>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</si>
  <si>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</si>
  <si>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</si>
  <si>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</si>
  <si>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</si>
  <si>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</si>
  <si>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</si>
  <si>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</si>
  <si>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</si>
  <si>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</si>
  <si>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Black-necked Stilt</t>
  </si>
  <si>
    <t>No</t>
  </si>
  <si>
    <t>{f4b2215c-0fec-4bb3-a75a-f75852b395c8}</t>
  </si>
  <si>
    <t>clark@ccber.ucsb.edu_ucsb</t>
  </si>
  <si>
    <t>Song Sparrow</t>
  </si>
  <si>
    <t>{95d368cf-aba7-49b7-a8e0-25d8d7560b51}</t>
  </si>
  <si>
    <t>{b14cb9d0-e3d7-4b00-8381-187ca7c6499d}</t>
  </si>
  <si>
    <t>Anna's Hummingbird</t>
  </si>
  <si>
    <t>{a4d578ee-a743-468e-8342-f71d232fd4c6}</t>
  </si>
  <si>
    <t>California Scrub-Jay</t>
  </si>
  <si>
    <t>{6ce92c66-00d9-4cdc-b0d9-9c6a3ef4151d}</t>
  </si>
  <si>
    <t>Bushtit</t>
  </si>
  <si>
    <t>{48cb8cfd-c7aa-4b66-bffe-95600c42016f}</t>
  </si>
  <si>
    <t>{bf40520e-a321-4267-b19a-7e8b3a0b1f86}</t>
  </si>
  <si>
    <t>Brown Pelican</t>
  </si>
  <si>
    <t>{dfb75a3f-9f92-4e11-b42d-4b0165cd9cf3}</t>
  </si>
  <si>
    <t>Double-crested Cormorant</t>
  </si>
  <si>
    <t>{4802a7c9-74ce-4fcf-96d3-0ec4d4ec7b82}</t>
  </si>
  <si>
    <t>Ruddy Duck</t>
  </si>
  <si>
    <t>{eadc0287-d64f-49a8-8be5-80e72331dbb0}</t>
  </si>
  <si>
    <t>Hooded Oriole</t>
  </si>
  <si>
    <t>{3c2e1f13-49c3-485b-9c9b-c389b3c0f774}</t>
  </si>
  <si>
    <t>Cassin's Kingbird</t>
  </si>
  <si>
    <t>{2af1ab61-70d1-4eea-a8ce-59377d4b136c}</t>
  </si>
  <si>
    <t>{ca42a61f-31e7-47a8-a55f-8e32c8aa6a14}</t>
  </si>
  <si>
    <t>Scaly-breasted Munia</t>
  </si>
  <si>
    <t>{4621dcc7-1fd7-4dc2-9f3c-a0625147678e}</t>
  </si>
  <si>
    <t>{a6c02db0-132d-47c5-b405-bc1b2709789d}</t>
  </si>
  <si>
    <t>California Thrasher</t>
  </si>
  <si>
    <t>{41f02cb5-b7a9-4abc-959d-0a148df263e8}</t>
  </si>
  <si>
    <t>{832441fb-03e4-4456-8c38-d2b7bbb93ff6}</t>
  </si>
  <si>
    <t>{65f89e41-7aa0-4c69-a6dc-5a997c7f186a}</t>
  </si>
  <si>
    <t>Northern Mockingbird</t>
  </si>
  <si>
    <t>{cedde3fc-487d-4168-8259-77e312b464a0}</t>
  </si>
  <si>
    <t>House Finch</t>
  </si>
  <si>
    <t>{1e9395ca-ff4f-4722-b354-dc1b5b0411d9}</t>
  </si>
  <si>
    <t>{337122e0-c18f-45f7-8443-604e1fe9a2fd}</t>
  </si>
  <si>
    <t>Mallard</t>
  </si>
  <si>
    <t>{2293bf41-4bdc-44c5-af1a-e17bceb52ad4}</t>
  </si>
  <si>
    <t>{43ae9c83-69b6-4efc-b3dc-11f224d0146a}</t>
  </si>
  <si>
    <t>{ab487ab9-2b31-49b2-8e87-1b562e3478bf}</t>
  </si>
  <si>
    <t>{8018e504-32b8-4f51-aae7-420aff28e8e1}</t>
  </si>
  <si>
    <t>Cliff Swallow</t>
  </si>
  <si>
    <t>{094fe4d0-a164-4ae1-b6db-a2e2b1d1dd27}</t>
  </si>
  <si>
    <t>Great Blue Heron</t>
  </si>
  <si>
    <t>{9ae1076e-44a0-4799-854a-eddb55105806}</t>
  </si>
  <si>
    <t>Acorn Woodpecker</t>
  </si>
  <si>
    <t>{e4932e7c-0140-4707-976a-04bab7e0f254}</t>
  </si>
  <si>
    <t>Selasphorus sp.</t>
  </si>
  <si>
    <t>{51e0a9e4-c043-41f0-81cd-e17a29253b48}</t>
  </si>
  <si>
    <t>{0943f3e9-2a84-463e-856e-119150453654}</t>
  </si>
  <si>
    <t>{159c73f4-29c3-4888-a4d4-eca406715369}</t>
  </si>
  <si>
    <t>Black Phoebe</t>
  </si>
  <si>
    <t>{0df6b1d7-318f-48c9-845e-b00d2f5acb02}</t>
  </si>
  <si>
    <t>{e8ca9e3f-bac9-40fb-b2e5-62cd7773f36b}</t>
  </si>
  <si>
    <t>{cfd933e6-f4b9-4d45-862e-d6bbed004e4e}</t>
  </si>
  <si>
    <t>Western Gull</t>
  </si>
  <si>
    <t>{f87bac9f-1e82-471b-877d-54860dff8985}</t>
  </si>
  <si>
    <t>Whimbrel</t>
  </si>
  <si>
    <t>{9f6bbb6c-f043-4165-8532-088b6a7b5584}</t>
  </si>
  <si>
    <t>{ce53c212-6f8a-48ff-a9a9-fd6a17bad093}</t>
  </si>
  <si>
    <t>Heermann's Gull</t>
  </si>
  <si>
    <t>{ac3c97ba-44a2-48f7-8d5c-e8b06fbe11d1}</t>
  </si>
  <si>
    <t>Yes</t>
  </si>
  <si>
    <t>{cc24308b-12d9-4b96-b94e-a21701dacd92}</t>
  </si>
  <si>
    <t>{518f330a-e29b-46f7-89da-d27cf70ed000}</t>
  </si>
  <si>
    <t>{8dc8071a-dd39-4a73-ae6e-6555e45fc3c8}</t>
  </si>
  <si>
    <t>{87f34806-9593-43a2-a249-50504f738efa}</t>
  </si>
  <si>
    <t>Long-billed Curlew</t>
  </si>
  <si>
    <t>{701f7244-cd9d-4bd3-a9b1-601921966d14}</t>
  </si>
  <si>
    <t>{04956389-58f6-4837-afe1-8babdcbe2203}</t>
  </si>
  <si>
    <t>{00884ee3-bcff-4b11-ba24-d7b35913dd8b}</t>
  </si>
  <si>
    <t>{29312249-7ce9-46d5-a626-7e19a4431097}</t>
  </si>
  <si>
    <t>{48f9f704-f2ba-4e8a-b34c-b49ec9764ea2}</t>
  </si>
  <si>
    <t>Common Yellowthroat</t>
  </si>
  <si>
    <t>{3b5c9be2-0688-4477-a3e9-110529284560}</t>
  </si>
  <si>
    <t>{ed32d61a-c2b4-4a09-b95b-bf8c2f3dc956}</t>
  </si>
  <si>
    <t>California Towhee</t>
  </si>
  <si>
    <t>{e7db3739-16ec-4fdf-87ce-bad02f4a1d63}</t>
  </si>
  <si>
    <t>Semipalmated Plover</t>
  </si>
  <si>
    <t>{a0ba8648-28e3-4265-9a94-9ac8f13c6840}</t>
  </si>
  <si>
    <t>Least Sandpiper</t>
  </si>
  <si>
    <t>{2d9e050f-cd00-40e6-a9de-04ba52b38c59}</t>
  </si>
  <si>
    <t>Western Sandpiper</t>
  </si>
  <si>
    <t>{c02f8438-2299-4e75-940d-6a993af0dd5a}</t>
  </si>
  <si>
    <t>Sanderling</t>
  </si>
  <si>
    <t>{b4c6d1b1-7094-4b4f-a706-bee428a4e315}</t>
  </si>
  <si>
    <t>Western Snowy Plover</t>
  </si>
  <si>
    <t>{c30268df-b264-4757-a37d-b69f3849f72a}</t>
  </si>
  <si>
    <t>{1d635cd6-228e-4cb2-85f4-e40b768a5ce8}</t>
  </si>
  <si>
    <t>{71889fec-e576-4110-83da-99fe0f34c1f3}</t>
  </si>
  <si>
    <t>{f5122eec-f416-4b5e-b5c3-651219183b94}</t>
  </si>
  <si>
    <t>{a0bba76d-050e-41ed-add2-2b2a95ab9521}</t>
  </si>
  <si>
    <t>{d9b95b32-262c-489a-b8d1-d4f6598119ce}</t>
  </si>
  <si>
    <t>{37ab3cfa-69b5-404f-a07c-8d88a051a982}</t>
  </si>
  <si>
    <t>{6988b1da-11b3-4f68-8bb4-f5487c0d725a}</t>
  </si>
  <si>
    <t>American Crow</t>
  </si>
  <si>
    <t>{326bc304-8253-419a-a9de-6c751e81c9b0}</t>
  </si>
  <si>
    <t>{28e5fdb8-547c-49c6-89fb-8565aa64e779}</t>
  </si>
  <si>
    <t>House Wren</t>
  </si>
  <si>
    <t>{755c25dd-a48f-450d-9af8-a0ed51816109}</t>
  </si>
  <si>
    <t>{45e5a320-d7e8-4d77-99d7-bb72cc919100}</t>
  </si>
  <si>
    <t>6:55</t>
  </si>
  <si>
    <t>{f3bb534a-e2b5-4907-9086-60b6216891f6}</t>
  </si>
  <si>
    <t>ccber_user</t>
  </si>
  <si>
    <t>Killdeer</t>
  </si>
  <si>
    <t>{70b9eb47-20dc-42d0-a419-8dc30ac4ee13}</t>
  </si>
  <si>
    <t>{32780aa3-3631-42e4-a2f4-be8f344c390f}</t>
  </si>
  <si>
    <t>{54978d6f-d876-4fd5-b04f-034d13141e67}</t>
  </si>
  <si>
    <t>{0538e355-fa00-4576-81cf-077e45253f83}</t>
  </si>
  <si>
    <t>Snowy Egret</t>
  </si>
  <si>
    <t>{cc81fcb8-91fa-4c62-85b9-51b17ae2f41c}</t>
  </si>
  <si>
    <t>{6586e3ae-ab9d-4ebb-8542-82c5ca65f597}</t>
  </si>
  <si>
    <t>Pied-billed Grebe</t>
  </si>
  <si>
    <t xml:space="preserve">one juvenile </t>
  </si>
  <si>
    <t>{ee55f470-fdb2-44fb-9393-2917ab978dfb}</t>
  </si>
  <si>
    <t>{ec247965-df37-4521-a7e6-e86d6375aa62}</t>
  </si>
  <si>
    <t>Yellow-rumped Warbler</t>
  </si>
  <si>
    <t>{dc4a1b4b-2f02-4c5b-93f9-267b7d3b8366}</t>
  </si>
  <si>
    <t>Western Bluebird</t>
  </si>
  <si>
    <t>{89d8f9d3-9eb7-4571-b230-d66c5c077d17}</t>
  </si>
  <si>
    <t>{56b764d7-5b01-41af-921a-281b028a6557}</t>
  </si>
  <si>
    <t>{f486e670-0841-4402-ac99-f5b832981ba2}</t>
  </si>
  <si>
    <t>Lesser Goldfinch</t>
  </si>
  <si>
    <t>{35c95382-4578-4eeb-8eac-ecc67c50199c}</t>
  </si>
  <si>
    <t>{f75123e9-9fe4-44b8-af19-6358bd33f72e}</t>
  </si>
  <si>
    <t>Mourning Dove</t>
  </si>
  <si>
    <t>{58928a25-0691-4ab4-a25b-68d4b3faf53d}</t>
  </si>
  <si>
    <t>Red-tailed Hawk</t>
  </si>
  <si>
    <t>{22e8f757-6496-4294-b18f-e773ae81e5dd}</t>
  </si>
  <si>
    <t>{d1659f89-1c83-438b-8b57-11094bd1df79}</t>
  </si>
  <si>
    <t>Air</t>
  </si>
  <si>
    <t>{77e7a516-4134-4038-b5cb-7070b2cfab5b}</t>
  </si>
  <si>
    <t>American Robin</t>
  </si>
  <si>
    <t>{7516b3eb-a301-4241-b51a-5194e10e40fb}</t>
  </si>
  <si>
    <t>{f74b1fec-7980-454f-89ca-dfb5567f7c43}</t>
  </si>
  <si>
    <t>Eurasian Collared-Dove</t>
  </si>
  <si>
    <t>{f63d395e-a75e-419d-a9eb-feea721d3570}</t>
  </si>
  <si>
    <t>Feeding/Begging</t>
  </si>
  <si>
    <t>{8c6752b1-0985-4b6f-88d7-1a9b1f7fdec4}</t>
  </si>
  <si>
    <t>{358ea6d8-2b10-4030-a843-dd36b8f8b250}</t>
  </si>
  <si>
    <t>Orange-crowned Warbler</t>
  </si>
  <si>
    <t>{f82c192c-1e33-45cb-9e2d-a69736d62fd0}</t>
  </si>
  <si>
    <t>{11435a13-6407-4e39-bf42-0c32410160a5}</t>
  </si>
  <si>
    <t>{f259553b-66c0-4d3d-975b-69e48823c053}</t>
  </si>
  <si>
    <t>{aea6090c-3b5e-4fcd-8c54-a5a2579b6128}</t>
  </si>
  <si>
    <t>{1d88a1a3-d0b5-49d8-906e-77cb3d5e310b}</t>
  </si>
  <si>
    <t>{8412f4b5-1cdf-4d7c-9719-e6fd5a12fed9}</t>
  </si>
  <si>
    <t xml:space="preserve">juvenile </t>
  </si>
  <si>
    <t>{d67df46c-f66a-40a0-bf7b-c4313da05972}</t>
  </si>
  <si>
    <t>{fa31a55d-6b0e-4b34-b35f-4f357a64b4ec}</t>
  </si>
  <si>
    <t>{0afa9677-ad03-4b8b-8631-080d4ad62351}</t>
  </si>
  <si>
    <t>{f9a1ffd4-c9c4-41f8-acdb-6c17311b2183}</t>
  </si>
  <si>
    <t>{b86845b8-7637-4857-a8ff-aebc415f4b6a}</t>
  </si>
  <si>
    <t>{351ea159-4814-4059-bd81-e3d6c9015ad1}</t>
  </si>
  <si>
    <t>{7063294b-f25d-492a-aa04-5dbe5571e702}</t>
  </si>
  <si>
    <t>{95a3733b-2346-4c67-81d2-8610708c8134}</t>
  </si>
  <si>
    <t>{78dceccc-0652-4c17-be6e-c54bcd471948}</t>
  </si>
  <si>
    <t>western/least sandpiper</t>
  </si>
  <si>
    <t>{557aab3e-9058-4ed7-ba0e-07f2670b450b}</t>
  </si>
  <si>
    <t>{607f7e29-3b5f-4f76-b3c3-90b88440e6de}</t>
  </si>
  <si>
    <t>{57f67816-4ff2-4dba-87fe-b1be15bbdd8b}</t>
  </si>
  <si>
    <t>{f3f4429f-85f3-4cb4-a116-0215318a3cb1}</t>
  </si>
  <si>
    <t>{2ebac9ae-e759-4a6a-91db-3743392e98c7}</t>
  </si>
  <si>
    <t>{fa887a19-d07a-4b7d-b6a5-b819af364702}</t>
  </si>
  <si>
    <t>{33177fe2-6825-4bff-acbf-74f53034a517}</t>
  </si>
  <si>
    <t>{a3992594-23f0-4299-be2e-c2b34e2e80b7}</t>
  </si>
  <si>
    <t>Bewick's Wren</t>
  </si>
  <si>
    <t>{6ae008e8-66e2-4457-b186-65f0545c3208}</t>
  </si>
  <si>
    <t>{57fa121b-fcbb-402c-b5b8-572ed50f115a}</t>
  </si>
  <si>
    <t>{a55868c3-861c-4ac5-a355-c6b23d84fd0e}</t>
  </si>
  <si>
    <t>{e393a4ed-fab3-46b4-be1d-faca3771ae11}</t>
  </si>
  <si>
    <t>{e9606b90-fae3-46d5-9df0-61b5fa429e5f}</t>
  </si>
  <si>
    <t>{6b8918bf-5d6f-4e27-b8ca-88a7fe09b0cc}</t>
  </si>
  <si>
    <t>{56317666-7e83-4839-8f0b-3c7ce9677a3b}</t>
  </si>
  <si>
    <t>{b1e98a9c-d70a-4eaa-b002-f116684fc517}</t>
  </si>
  <si>
    <t>{031c319d-220c-4392-b0a8-5f5c385663d4}</t>
  </si>
  <si>
    <t>{6c99b58b-afd5-4074-a865-c06221e52f62}</t>
  </si>
  <si>
    <t>{a557800d-7728-4e42-beff-2050034aea11}</t>
  </si>
  <si>
    <t>{95c7a5fa-dee1-48a2-9a93-0497ee934b5a}</t>
  </si>
  <si>
    <t>{b90bd57e-ccc3-4a55-b431-e565675da894}</t>
  </si>
  <si>
    <t>{147d6c55-1b3b-4dd5-b8e6-56ace81dc4ec}</t>
  </si>
  <si>
    <t>{d0ff9d52-626f-4b11-a281-7e9bdd3c0c88}</t>
  </si>
  <si>
    <t>{1911bdb1-0ff7-4869-92cf-518d7c4b448d}</t>
  </si>
  <si>
    <t>{2c736684-7e15-4d13-9e8f-f0291ede36a9}</t>
  </si>
  <si>
    <t>{77a671ce-744b-49fb-960d-948521f77978}</t>
  </si>
  <si>
    <t>Green Heron</t>
  </si>
  <si>
    <t>{2f316924-82f3-41fc-8b95-22accecc66b0}</t>
  </si>
  <si>
    <t>{6858e564-f7fb-497e-8974-2acdbcfbacd5}</t>
  </si>
  <si>
    <t>{b13197bf-1f23-4869-a253-1bedec9c0609}</t>
  </si>
  <si>
    <t>{f3afb5ba-1528-4ed9-8311-8ed86a2915cf}</t>
  </si>
  <si>
    <t>{a38813b3-9a41-48b8-9be9-59094c458739}</t>
  </si>
  <si>
    <t>{352243dd-6b5c-45ce-abd8-fd9e239fddfb}</t>
  </si>
  <si>
    <t>Greater Yellowlegs</t>
  </si>
  <si>
    <t>{653d9ae4-372e-4ea5-a419-38ef9c52cb1c}</t>
  </si>
  <si>
    <t>{a6808bc7-f00e-40e8-8cf1-2ce54c398503}</t>
  </si>
  <si>
    <t>{69ed3b92-7d07-45e4-80ce-80e2f229c98a}</t>
  </si>
  <si>
    <t>{683ea36f-1bb5-4f8d-b191-28fd57350039}</t>
  </si>
  <si>
    <t>{c93f7e6f-27a8-4658-a835-b7d37f9443c1}</t>
  </si>
  <si>
    <t>{5f8b768a-0d41-42a2-bc12-4d487bd9197b}</t>
  </si>
  <si>
    <t>{4560714f-4685-455e-887a-feba740d16f5}</t>
  </si>
  <si>
    <t>{cd6ff5f5-7ade-456c-ae50-62552ebe4875}</t>
  </si>
  <si>
    <t>9:08</t>
  </si>
  <si>
    <t>{5e75b261-d37b-4d76-bbf0-1308f0ee0a12}</t>
  </si>
  <si>
    <t>Date</t>
  </si>
  <si>
    <t>Time</t>
  </si>
  <si>
    <t>Count not recorded in the field. Assumed to be 1.</t>
  </si>
  <si>
    <t>EAST: Glenn, Conor, Darwin</t>
  </si>
  <si>
    <t>WEST: Lisa, Mark, Chris</t>
  </si>
  <si>
    <t>western/least sandpiper (peep sp.)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</si>
  <si>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</si>
  <si>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</si>
  <si>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</si>
  <si>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</si>
  <si>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</si>
  <si>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</si>
  <si>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</si>
  <si>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</si>
  <si>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Call our observations from the Quarry - about 7 repeats.</t>
  </si>
  <si>
    <t>Not sure where Glenn's team saw them but Mark's team only  saw 1 on Lag Island.</t>
  </si>
  <si>
    <t xml:space="preserve">If these look like repeats from location then call our's repeats </t>
  </si>
  <si>
    <t>same as above.</t>
  </si>
  <si>
    <t>Mark says only 1 .. Okay.</t>
  </si>
  <si>
    <t>Yes - make ours not a repeat.</t>
  </si>
  <si>
    <t>ours could be repeats due to bird disturbance.</t>
  </si>
  <si>
    <t>He says eliminte.. And I recall it was HoFi..  replace with house finch.</t>
  </si>
  <si>
    <t>Species identity questioned in survey review - excluded from final count.</t>
  </si>
  <si>
    <t>Changed Repeat Observation from No to Yes following survey review.</t>
  </si>
  <si>
    <t>Corrected Repeat Observation from Yes to No following survey review.</t>
  </si>
  <si>
    <t>Changed Count from 2 to 1 following survey review.</t>
  </si>
  <si>
    <t>Common Name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</si>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</sst>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19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1" fillId="2" borderId="1" xfId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2">
    <cellStyle name="Normal" xfId="0" builtinId="0"/>
    <cellStyle name="Style0" xfId="1" xr:uid="{00000000-0005-0000-0000-000001000000}"/>
  </cellStyles>
  <dxfs count="12"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035.462530324075" createdVersion="6" refreshedVersion="6" minRefreshableVersion="3" recordCount="146" xr:uid="{647A8DA9-18BA-403E-8502-19F38EA3CE95}">
  <cacheSource type="worksheet">
    <worksheetSource ref="A1:AE147" sheet="CL_Bird_Survey_Data_2020_0717"/>
  </cacheSource>
  <cacheFields count="31">
    <cacheField name="OBJECTID" numFmtId="0">
      <sharedItems containsSemiMixedTypes="0" containsString="0" containsNumber="1" containsInteger="1" minValue="1" maxValue="146"/>
    </cacheField>
    <cacheField name="Date" numFmtId="14">
      <sharedItems containsSemiMixedTypes="0" containsNonDate="0" containsDate="1" containsString="0" minDate="2020-07-17T00:00:00" maxDate="2020-07-18T00:00:00"/>
    </cacheField>
    <cacheField name="Time" numFmtId="165">
      <sharedItems containsSemiMixedTypes="0" containsNonDate="0" containsDate="1" containsString="0" minDate="2020-07-17T06:55:44" maxDate="2020-07-17T09:08:09"/>
    </cacheField>
    <cacheField name="Species" numFmtId="0">
      <sharedItems count="48">
        <s v="Acorn Woodpecker"/>
        <s v="American Crow"/>
        <s v="American Robin"/>
        <s v="Anna's Hummingbird"/>
        <s v="Bewick's Wren"/>
        <s v="Black Phoebe"/>
        <s v="Black-necked Stilt"/>
        <s v="Brown Pelican"/>
        <s v="Bushtit"/>
        <s v="California Scrub-Jay"/>
        <s v="California Thrasher"/>
        <s v="California Towhee"/>
        <s v="Cassin's Kingbird"/>
        <s v="Cliff Swallow"/>
        <s v="Common Yellowthroat"/>
        <s v="Double-crested Cormorant"/>
        <s v="Eurasian Collared-Dove"/>
        <s v="Great Blue Heron"/>
        <s v="Greater Yellowlegs"/>
        <s v="Green Heron"/>
        <s v="Heermann's Gull"/>
        <s v="Hooded Oriole"/>
        <s v="House Finch"/>
        <s v="House Wren"/>
        <s v="Killdeer"/>
        <s v="Least Sandpiper"/>
        <s v="Lesser Goldfinch"/>
        <s v="Long-billed Curlew"/>
        <s v="Mallard"/>
        <s v="Mourning Dove"/>
        <s v="Northern Mockingbird"/>
        <s v="Orange-crowned Warbler"/>
        <s v="Pied-billed Grebe"/>
        <s v="Red-tailed Hawk"/>
        <s v="Ruddy Duck"/>
        <s v="Sanderling"/>
        <s v="Scaly-breasted Munia"/>
        <s v="Selasphorus sp."/>
        <s v="Semipalmated Plover"/>
        <s v="Snowy Egret"/>
        <s v="Song Sparrow"/>
        <s v="Western Bluebird"/>
        <s v="Western Gull"/>
        <s v="Western Sandpiper"/>
        <s v="Western Snowy Plover"/>
        <s v="western/least sandpiper (peep sp.)"/>
        <s v="Whimbrel"/>
        <s v="Yellow-rumped Warbler"/>
      </sharedItems>
    </cacheField>
    <cacheField name="Count" numFmtId="0">
      <sharedItems containsSemiMixedTypes="0" containsString="0" containsNumber="1" containsInteger="1" minValue="1" maxValue="29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Observers" numFmtId="0">
      <sharedItems count="2">
        <s v="EAST: Glenn, Conor, Darwin"/>
        <s v="WEST: Lisa, Mark, Chris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5" maxValue="65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7-17T13:55:44" maxDate="2020-07-17T16:08:09"/>
    </cacheField>
    <cacheField name="Creator" numFmtId="0">
      <sharedItems/>
    </cacheField>
    <cacheField name="EditDate" numFmtId="164">
      <sharedItems containsSemiMixedTypes="0" containsNonDate="0" containsDate="1" containsString="0" minDate="2020-07-17T13:56:24" maxDate="2020-07-17T16:08:09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n v="28"/>
    <d v="2020-07-17T00:00:00"/>
    <d v="2020-07-17T07:20:23"/>
    <x v="0"/>
    <n v="1"/>
    <x v="0"/>
    <m/>
    <m/>
    <m/>
    <m/>
    <x v="0"/>
    <m/>
    <m/>
    <m/>
    <m/>
    <m/>
    <m/>
    <m/>
    <m/>
    <m/>
    <m/>
    <m/>
    <m/>
    <m/>
    <m/>
    <m/>
    <s v="{e4932e7c-0140-4707-976a-04bab7e0f254}"/>
    <d v="2020-07-17T14:20:23"/>
    <s v="clark@ccber.ucsb.edu_ucsb"/>
    <d v="2020-07-17T14:20:23"/>
    <s v="clark@ccber.ucsb.edu_ucsb"/>
  </r>
  <r>
    <n v="85"/>
    <d v="2020-07-17T00:00:00"/>
    <d v="2020-07-17T07:18:23"/>
    <x v="1"/>
    <n v="1"/>
    <x v="0"/>
    <s v="Air"/>
    <m/>
    <m/>
    <m/>
    <x v="1"/>
    <m/>
    <m/>
    <m/>
    <m/>
    <m/>
    <m/>
    <m/>
    <m/>
    <m/>
    <m/>
    <m/>
    <m/>
    <m/>
    <m/>
    <m/>
    <s v="{77e7a516-4134-4038-b5cb-7070b2cfab5b}"/>
    <d v="2020-07-17T14:18:23"/>
    <s v="ccber_user"/>
    <d v="2020-07-17T14:18:23"/>
    <s v="ccber_user"/>
  </r>
  <r>
    <n v="125"/>
    <d v="2020-07-17T00:00:00"/>
    <d v="2020-07-17T08:19:00"/>
    <x v="1"/>
    <n v="1"/>
    <x v="0"/>
    <s v="Air"/>
    <m/>
    <m/>
    <m/>
    <x v="1"/>
    <m/>
    <m/>
    <m/>
    <m/>
    <m/>
    <m/>
    <m/>
    <m/>
    <m/>
    <m/>
    <m/>
    <m/>
    <m/>
    <m/>
    <m/>
    <s v="{95c7a5fa-dee1-48a2-9a93-0497ee934b5a}"/>
    <d v="2020-07-17T15:19:00"/>
    <s v="ccber_user"/>
    <d v="2020-07-17T15:19:00"/>
    <s v="ccber_user"/>
  </r>
  <r>
    <n v="128"/>
    <d v="2020-07-17T00:00:00"/>
    <d v="2020-07-17T08:22:02"/>
    <x v="1"/>
    <n v="1"/>
    <x v="0"/>
    <m/>
    <m/>
    <s v="Feeding/Begging"/>
    <m/>
    <x v="1"/>
    <m/>
    <m/>
    <m/>
    <m/>
    <m/>
    <m/>
    <m/>
    <m/>
    <m/>
    <m/>
    <m/>
    <m/>
    <m/>
    <m/>
    <m/>
    <s v="{d0ff9d52-626f-4b11-a281-7e9bdd3c0c88}"/>
    <d v="2020-07-17T15:22:02"/>
    <s v="ccber_user"/>
    <d v="2020-07-17T15:22:02"/>
    <s v="ccber_user"/>
  </r>
  <r>
    <n v="63"/>
    <d v="2020-07-17T00:00:00"/>
    <d v="2020-07-17T08:22:37"/>
    <x v="1"/>
    <n v="1"/>
    <x v="0"/>
    <m/>
    <m/>
    <m/>
    <m/>
    <x v="0"/>
    <m/>
    <m/>
    <m/>
    <m/>
    <m/>
    <m/>
    <m/>
    <m/>
    <m/>
    <m/>
    <m/>
    <m/>
    <m/>
    <m/>
    <m/>
    <s v="{326bc304-8253-419a-a9de-6c751e81c9b0}"/>
    <d v="2020-07-17T15:22:37"/>
    <s v="clark@ccber.ucsb.edu_ucsb"/>
    <d v="2020-07-17T15:22:37"/>
    <s v="clark@ccber.ucsb.edu_ucsb"/>
  </r>
  <r>
    <n v="86"/>
    <d v="2020-07-17T00:00:00"/>
    <d v="2020-07-17T07:18:47"/>
    <x v="2"/>
    <n v="1"/>
    <x v="0"/>
    <m/>
    <m/>
    <m/>
    <m/>
    <x v="1"/>
    <m/>
    <m/>
    <m/>
    <m/>
    <m/>
    <m/>
    <m/>
    <m/>
    <m/>
    <m/>
    <m/>
    <m/>
    <m/>
    <m/>
    <m/>
    <s v="{7516b3eb-a301-4241-b51a-5194e10e40fb}"/>
    <d v="2020-07-17T14:18:47"/>
    <s v="ccber_user"/>
    <d v="2020-07-17T14:18:47"/>
    <s v="ccber_user"/>
  </r>
  <r>
    <n v="97"/>
    <d v="2020-07-17T00:00:00"/>
    <d v="2020-07-17T07:33:20"/>
    <x v="2"/>
    <n v="1"/>
    <x v="0"/>
    <m/>
    <m/>
    <m/>
    <s v="juvenile "/>
    <x v="1"/>
    <m/>
    <m/>
    <m/>
    <m/>
    <m/>
    <m/>
    <m/>
    <m/>
    <m/>
    <m/>
    <m/>
    <m/>
    <m/>
    <m/>
    <m/>
    <s v="{d67df46c-f66a-40a0-bf7b-c4313da05972}"/>
    <d v="2020-07-17T14:33:20"/>
    <s v="ccber_user"/>
    <d v="2020-07-17T14:35:02"/>
    <s v="ccber_user"/>
  </r>
  <r>
    <n v="113"/>
    <d v="2020-07-17T00:00:00"/>
    <d v="2020-07-17T08:00:07"/>
    <x v="2"/>
    <n v="1"/>
    <x v="0"/>
    <m/>
    <m/>
    <m/>
    <s v="juvenile "/>
    <x v="1"/>
    <m/>
    <m/>
    <m/>
    <m/>
    <m/>
    <m/>
    <m/>
    <m/>
    <m/>
    <m/>
    <m/>
    <m/>
    <m/>
    <m/>
    <m/>
    <s v="{a3992594-23f0-4299-be2e-c2b34e2e80b7}"/>
    <d v="2020-07-17T15:00:07"/>
    <s v="ccber_user"/>
    <d v="2020-07-17T15:01:19"/>
    <s v="ccber_user"/>
  </r>
  <r>
    <n v="4"/>
    <d v="2020-07-17T00:00:00"/>
    <d v="2020-07-17T06:57:39"/>
    <x v="3"/>
    <n v="1"/>
    <x v="0"/>
    <m/>
    <m/>
    <m/>
    <m/>
    <x v="0"/>
    <m/>
    <m/>
    <m/>
    <m/>
    <m/>
    <m/>
    <m/>
    <m/>
    <m/>
    <m/>
    <m/>
    <m/>
    <m/>
    <m/>
    <m/>
    <s v="{a4d578ee-a743-468e-8342-f71d232fd4c6}"/>
    <d v="2020-07-17T13:57:39"/>
    <s v="clark@ccber.ucsb.edu_ucsb"/>
    <d v="2020-07-17T13:57:39"/>
    <s v="clark@ccber.ucsb.edu_ucsb"/>
  </r>
  <r>
    <n v="15"/>
    <d v="2020-07-17T00:00:00"/>
    <d v="2020-07-17T07:07:44"/>
    <x v="3"/>
    <n v="1"/>
    <x v="0"/>
    <m/>
    <m/>
    <m/>
    <m/>
    <x v="0"/>
    <m/>
    <m/>
    <m/>
    <m/>
    <m/>
    <m/>
    <m/>
    <m/>
    <m/>
    <m/>
    <m/>
    <m/>
    <m/>
    <m/>
    <m/>
    <s v="{a6c02db0-132d-47c5-b405-bc1b2709789d}"/>
    <d v="2020-07-17T14:07:44"/>
    <s v="clark@ccber.ucsb.edu_ucsb"/>
    <d v="2020-07-17T14:07:44"/>
    <s v="clark@ccber.ucsb.edu_ucsb"/>
  </r>
  <r>
    <n v="17"/>
    <d v="2020-07-17T00:00:00"/>
    <d v="2020-07-17T07:08:53"/>
    <x v="3"/>
    <n v="1"/>
    <x v="0"/>
    <m/>
    <m/>
    <m/>
    <m/>
    <x v="0"/>
    <m/>
    <m/>
    <m/>
    <m/>
    <m/>
    <m/>
    <m/>
    <m/>
    <m/>
    <m/>
    <m/>
    <m/>
    <m/>
    <m/>
    <m/>
    <s v="{832441fb-03e4-4456-8c38-d2b7bbb93ff6}"/>
    <d v="2020-07-17T14:08:53"/>
    <s v="clark@ccber.ucsb.edu_ucsb"/>
    <d v="2020-07-17T14:08:53"/>
    <s v="clark@ccber.ucsb.edu_ucsb"/>
  </r>
  <r>
    <n v="79"/>
    <d v="2020-07-17T00:00:00"/>
    <d v="2020-07-17T07:11:23"/>
    <x v="3"/>
    <n v="1"/>
    <x v="0"/>
    <m/>
    <m/>
    <m/>
    <m/>
    <x v="1"/>
    <m/>
    <m/>
    <m/>
    <m/>
    <m/>
    <m/>
    <m/>
    <m/>
    <m/>
    <m/>
    <m/>
    <m/>
    <m/>
    <m/>
    <m/>
    <s v="{f486e670-0841-4402-ac99-f5b832981ba2}"/>
    <d v="2020-07-17T14:11:23"/>
    <s v="ccber_user"/>
    <d v="2020-07-17T14:11:23"/>
    <s v="ccber_user"/>
  </r>
  <r>
    <n v="98"/>
    <d v="2020-07-17T00:00:00"/>
    <d v="2020-07-17T07:35:30"/>
    <x v="3"/>
    <n v="1"/>
    <x v="0"/>
    <m/>
    <m/>
    <m/>
    <m/>
    <x v="1"/>
    <m/>
    <m/>
    <m/>
    <m/>
    <m/>
    <m/>
    <m/>
    <m/>
    <m/>
    <m/>
    <m/>
    <m/>
    <m/>
    <m/>
    <m/>
    <s v="{fa31a55d-6b0e-4b34-b35f-4f357a64b4ec}"/>
    <d v="2020-07-17T14:35:30"/>
    <s v="ccber_user"/>
    <d v="2020-07-17T14:35:30"/>
    <s v="ccber_user"/>
  </r>
  <r>
    <n v="119"/>
    <d v="2020-07-17T00:00:00"/>
    <d v="2020-07-17T08:06:56"/>
    <x v="3"/>
    <n v="1"/>
    <x v="0"/>
    <m/>
    <m/>
    <m/>
    <m/>
    <x v="1"/>
    <m/>
    <m/>
    <m/>
    <m/>
    <m/>
    <m/>
    <m/>
    <m/>
    <m/>
    <m/>
    <m/>
    <m/>
    <m/>
    <m/>
    <m/>
    <s v="{6b8918bf-5d6f-4e27-b8ca-88a7fe09b0cc}"/>
    <d v="2020-07-17T15:06:56"/>
    <s v="ccber_user"/>
    <d v="2020-07-17T15:06:56"/>
    <s v="ccber_user"/>
  </r>
  <r>
    <n v="64"/>
    <d v="2020-07-17T00:00:00"/>
    <d v="2020-07-17T08:35:10"/>
    <x v="3"/>
    <n v="1"/>
    <x v="0"/>
    <m/>
    <m/>
    <m/>
    <m/>
    <x v="0"/>
    <m/>
    <m/>
    <m/>
    <m/>
    <m/>
    <m/>
    <m/>
    <m/>
    <m/>
    <m/>
    <m/>
    <m/>
    <m/>
    <m/>
    <m/>
    <s v="{28e5fdb8-547c-49c6-89fb-8565aa64e779}"/>
    <d v="2020-07-17T15:35:10"/>
    <s v="clark@ccber.ucsb.edu_ucsb"/>
    <d v="2020-07-17T15:35:10"/>
    <s v="clark@ccber.ucsb.edu_ucsb"/>
  </r>
  <r>
    <n v="140"/>
    <d v="2020-07-17T00:00:00"/>
    <d v="2020-07-17T08:40:47"/>
    <x v="3"/>
    <n v="1"/>
    <x v="0"/>
    <m/>
    <m/>
    <m/>
    <m/>
    <x v="1"/>
    <m/>
    <m/>
    <m/>
    <m/>
    <m/>
    <m/>
    <m/>
    <m/>
    <m/>
    <m/>
    <m/>
    <m/>
    <m/>
    <m/>
    <m/>
    <s v="{69ed3b92-7d07-45e4-80ce-80e2f229c98a}"/>
    <d v="2020-07-17T15:40:47"/>
    <s v="ccber_user"/>
    <d v="2020-07-17T15:40:47"/>
    <s v="ccber_user"/>
  </r>
  <r>
    <n v="114"/>
    <d v="2020-07-17T00:00:00"/>
    <d v="2020-07-17T08:00:40"/>
    <x v="4"/>
    <n v="1"/>
    <x v="0"/>
    <m/>
    <m/>
    <m/>
    <m/>
    <x v="1"/>
    <m/>
    <m/>
    <m/>
    <m/>
    <m/>
    <m/>
    <m/>
    <m/>
    <m/>
    <m/>
    <m/>
    <m/>
    <m/>
    <m/>
    <m/>
    <s v="{6ae008e8-66e2-4457-b186-65f0545c3208}"/>
    <d v="2020-07-17T15:00:40"/>
    <s v="ccber_user"/>
    <d v="2020-07-17T15:00:40"/>
    <s v="ccber_user"/>
  </r>
  <r>
    <n v="32"/>
    <d v="2020-07-17T00:00:00"/>
    <d v="2020-07-17T07:24:02"/>
    <x v="5"/>
    <n v="1"/>
    <x v="0"/>
    <m/>
    <m/>
    <m/>
    <m/>
    <x v="0"/>
    <m/>
    <m/>
    <m/>
    <m/>
    <m/>
    <m/>
    <m/>
    <m/>
    <m/>
    <m/>
    <m/>
    <m/>
    <m/>
    <m/>
    <m/>
    <s v="{0df6b1d7-318f-48c9-845e-b00d2f5acb02}"/>
    <d v="2020-07-17T14:24:02"/>
    <s v="clark@ccber.ucsb.edu_ucsb"/>
    <d v="2020-07-17T14:24:02"/>
    <s v="clark@ccber.ucsb.edu_ucsb"/>
  </r>
  <r>
    <n v="41"/>
    <d v="2020-07-17T00:00:00"/>
    <d v="2020-07-17T07:34:27"/>
    <x v="5"/>
    <n v="2"/>
    <x v="0"/>
    <m/>
    <m/>
    <m/>
    <m/>
    <x v="0"/>
    <m/>
    <m/>
    <m/>
    <m/>
    <m/>
    <m/>
    <m/>
    <m/>
    <m/>
    <m/>
    <m/>
    <m/>
    <m/>
    <m/>
    <m/>
    <s v="{8dc8071a-dd39-4a73-ae6e-6555e45fc3c8}"/>
    <d v="2020-07-17T14:34:27"/>
    <s v="clark@ccber.ucsb.edu_ucsb"/>
    <d v="2020-07-17T14:34:27"/>
    <s v="clark@ccber.ucsb.edu_ucsb"/>
  </r>
  <r>
    <n v="100"/>
    <d v="2020-07-17T00:00:00"/>
    <d v="2020-07-17T07:41:51"/>
    <x v="5"/>
    <n v="1"/>
    <x v="0"/>
    <m/>
    <m/>
    <m/>
    <m/>
    <x v="1"/>
    <m/>
    <m/>
    <m/>
    <m/>
    <m/>
    <m/>
    <m/>
    <m/>
    <m/>
    <m/>
    <m/>
    <m/>
    <m/>
    <m/>
    <m/>
    <s v="{f9a1ffd4-c9c4-41f8-acdb-6c17311b2183}"/>
    <d v="2020-07-17T14:41:51"/>
    <s v="ccber_user"/>
    <d v="2020-07-17T14:41:51"/>
    <s v="ccber_user"/>
  </r>
  <r>
    <n v="105"/>
    <d v="2020-07-17T00:00:00"/>
    <d v="2020-07-17T07:48:30"/>
    <x v="5"/>
    <n v="1"/>
    <x v="0"/>
    <m/>
    <m/>
    <m/>
    <s v="Count not recorded in the field. Assumed to be 1."/>
    <x v="1"/>
    <m/>
    <m/>
    <m/>
    <m/>
    <m/>
    <m/>
    <m/>
    <m/>
    <m/>
    <m/>
    <m/>
    <m/>
    <m/>
    <m/>
    <m/>
    <s v="{78dceccc-0652-4c17-be6e-c54bcd471948}"/>
    <d v="2020-07-17T14:48:30"/>
    <s v="ccber_user"/>
    <d v="2020-07-17T14:48:30"/>
    <s v="ccber_user"/>
  </r>
  <r>
    <n v="135"/>
    <d v="2020-07-17T00:00:00"/>
    <d v="2020-07-17T08:34:55"/>
    <x v="5"/>
    <n v="1"/>
    <x v="0"/>
    <m/>
    <m/>
    <m/>
    <s v="juvenile "/>
    <x v="1"/>
    <m/>
    <m/>
    <m/>
    <m/>
    <m/>
    <m/>
    <m/>
    <m/>
    <m/>
    <m/>
    <m/>
    <m/>
    <m/>
    <m/>
    <m/>
    <s v="{f3afb5ba-1528-4ed9-8311-8ed86a2915cf}"/>
    <d v="2020-07-17T15:34:55"/>
    <s v="ccber_user"/>
    <d v="2020-07-17T15:35:51"/>
    <s v="ccber_user"/>
  </r>
  <r>
    <n v="66"/>
    <d v="2020-07-17T00:00:00"/>
    <d v="2020-07-17T08:45:21"/>
    <x v="5"/>
    <n v="1"/>
    <x v="0"/>
    <m/>
    <m/>
    <m/>
    <m/>
    <x v="0"/>
    <m/>
    <m/>
    <m/>
    <m/>
    <m/>
    <m/>
    <m/>
    <m/>
    <m/>
    <m/>
    <m/>
    <m/>
    <m/>
    <m/>
    <m/>
    <s v="{45e5a320-d7e8-4d77-99d7-bb72cc919100}"/>
    <d v="2020-07-17T15:45:21"/>
    <s v="clark@ccber.ucsb.edu_ucsb"/>
    <d v="2020-07-17T15:45:21"/>
    <s v="clark@ccber.ucsb.edu_ucsb"/>
  </r>
  <r>
    <n v="1"/>
    <d v="2020-07-17T00:00:00"/>
    <d v="2020-07-17T06:55:44"/>
    <x v="6"/>
    <n v="6"/>
    <x v="0"/>
    <m/>
    <m/>
    <m/>
    <m/>
    <x v="0"/>
    <m/>
    <m/>
    <m/>
    <m/>
    <m/>
    <m/>
    <m/>
    <m/>
    <m/>
    <m/>
    <m/>
    <m/>
    <m/>
    <m/>
    <m/>
    <s v="{f4b2215c-0fec-4bb3-a75a-f75852b395c8}"/>
    <d v="2020-07-17T13:55:44"/>
    <s v="clark@ccber.ucsb.edu_ucsb"/>
    <d v="2020-07-17T15:10:43"/>
    <s v="clark@ccber.ucsb.edu_ucsb"/>
  </r>
  <r>
    <n v="67"/>
    <d v="2020-07-17T00:00:00"/>
    <d v="2020-07-17T06:56:24"/>
    <x v="6"/>
    <n v="1"/>
    <x v="1"/>
    <m/>
    <m/>
    <m/>
    <m/>
    <x v="1"/>
    <s v="6:55"/>
    <m/>
    <n v="65"/>
    <n v="100"/>
    <m/>
    <m/>
    <m/>
    <m/>
    <m/>
    <m/>
    <m/>
    <m/>
    <m/>
    <m/>
    <m/>
    <s v="{f3bb534a-e2b5-4907-9086-60b6216891f6}"/>
    <d v="2020-07-17T13:56:24"/>
    <s v="ccber_user"/>
    <d v="2020-07-17T13:56:24"/>
    <s v="ccber_user"/>
  </r>
  <r>
    <n v="69"/>
    <d v="2020-07-17T00:00:00"/>
    <d v="2020-07-17T06:56:43"/>
    <x v="6"/>
    <n v="3"/>
    <x v="0"/>
    <m/>
    <m/>
    <m/>
    <m/>
    <x v="1"/>
    <m/>
    <m/>
    <m/>
    <m/>
    <m/>
    <m/>
    <m/>
    <m/>
    <m/>
    <m/>
    <m/>
    <m/>
    <m/>
    <m/>
    <m/>
    <s v="{32780aa3-3631-42e4-a2f4-be8f344c390f}"/>
    <d v="2020-07-17T13:56:43"/>
    <s v="ccber_user"/>
    <d v="2020-07-17T13:56:43"/>
    <s v="ccber_user"/>
  </r>
  <r>
    <n v="33"/>
    <d v="2020-07-17T00:00:00"/>
    <d v="2020-07-17T07:24:30"/>
    <x v="6"/>
    <n v="1"/>
    <x v="0"/>
    <m/>
    <m/>
    <m/>
    <m/>
    <x v="0"/>
    <m/>
    <m/>
    <m/>
    <m/>
    <m/>
    <m/>
    <m/>
    <m/>
    <m/>
    <m/>
    <m/>
    <m/>
    <m/>
    <m/>
    <m/>
    <s v="{e8ca9e3f-bac9-40fb-b2e5-62cd7773f36b}"/>
    <d v="2020-07-17T14:24:30"/>
    <s v="clark@ccber.ucsb.edu_ucsb"/>
    <d v="2020-07-17T14:24:30"/>
    <s v="clark@ccber.ucsb.edu_ucsb"/>
  </r>
  <r>
    <n v="137"/>
    <d v="2020-07-17T00:00:00"/>
    <d v="2020-07-17T08:37:25"/>
    <x v="6"/>
    <n v="7"/>
    <x v="1"/>
    <m/>
    <m/>
    <m/>
    <s v="Changed Repeat Observation from No to Yes following survey review."/>
    <x v="1"/>
    <m/>
    <m/>
    <m/>
    <m/>
    <m/>
    <m/>
    <m/>
    <m/>
    <m/>
    <m/>
    <m/>
    <m/>
    <m/>
    <m/>
    <m/>
    <s v="{352243dd-6b5c-45ce-abd8-fd9e239fddfb}"/>
    <d v="2020-07-17T15:37:25"/>
    <s v="ccber_user"/>
    <d v="2020-07-17T15:40:10"/>
    <s v="ccber_user"/>
  </r>
  <r>
    <n v="8"/>
    <d v="2020-07-17T00:00:00"/>
    <d v="2020-07-17T07:01:31"/>
    <x v="7"/>
    <n v="2"/>
    <x v="0"/>
    <m/>
    <m/>
    <m/>
    <m/>
    <x v="0"/>
    <m/>
    <m/>
    <m/>
    <m/>
    <m/>
    <m/>
    <m/>
    <m/>
    <m/>
    <m/>
    <m/>
    <m/>
    <m/>
    <m/>
    <m/>
    <s v="{dfb75a3f-9f92-4e11-b42d-4b0165cd9cf3}"/>
    <d v="2020-07-17T14:01:31"/>
    <s v="clark@ccber.ucsb.edu_ucsb"/>
    <d v="2020-07-17T14:01:31"/>
    <s v="clark@ccber.ucsb.edu_ucsb"/>
  </r>
  <r>
    <n v="6"/>
    <d v="2020-07-17T00:00:00"/>
    <d v="2020-07-17T07:00:19"/>
    <x v="8"/>
    <n v="2"/>
    <x v="0"/>
    <m/>
    <m/>
    <m/>
    <m/>
    <x v="0"/>
    <m/>
    <m/>
    <m/>
    <m/>
    <m/>
    <m/>
    <m/>
    <m/>
    <m/>
    <m/>
    <m/>
    <m/>
    <m/>
    <m/>
    <m/>
    <s v="{48cb8cfd-c7aa-4b66-bffe-95600c42016f}"/>
    <d v="2020-07-17T14:00:19"/>
    <s v="clark@ccber.ucsb.edu_ucsb"/>
    <d v="2020-07-17T14:00:19"/>
    <s v="clark@ccber.ucsb.edu_ucsb"/>
  </r>
  <r>
    <n v="13"/>
    <d v="2020-07-17T00:00:00"/>
    <d v="2020-07-17T07:07:03"/>
    <x v="8"/>
    <n v="2"/>
    <x v="0"/>
    <m/>
    <m/>
    <m/>
    <m/>
    <x v="0"/>
    <m/>
    <m/>
    <m/>
    <m/>
    <m/>
    <m/>
    <m/>
    <m/>
    <m/>
    <m/>
    <m/>
    <m/>
    <m/>
    <m/>
    <m/>
    <s v="{ca42a61f-31e7-47a8-a55f-8e32c8aa6a14}"/>
    <d v="2020-07-17T14:07:03"/>
    <s v="clark@ccber.ucsb.edu_ucsb"/>
    <d v="2020-07-17T14:07:03"/>
    <s v="clark@ccber.ucsb.edu_ucsb"/>
  </r>
  <r>
    <n v="94"/>
    <d v="2020-07-17T00:00:00"/>
    <d v="2020-07-17T07:30:05"/>
    <x v="8"/>
    <n v="8"/>
    <x v="0"/>
    <m/>
    <m/>
    <m/>
    <m/>
    <x v="1"/>
    <m/>
    <m/>
    <m/>
    <m/>
    <m/>
    <m/>
    <m/>
    <m/>
    <m/>
    <m/>
    <m/>
    <m/>
    <m/>
    <m/>
    <m/>
    <s v="{aea6090c-3b5e-4fcd-8c54-a5a2579b6128}"/>
    <d v="2020-07-17T14:30:05"/>
    <s v="ccber_user"/>
    <d v="2020-07-17T14:30:31"/>
    <s v="ccber_user"/>
  </r>
  <r>
    <n v="49"/>
    <d v="2020-07-17T00:00:00"/>
    <d v="2020-07-17T07:42:40"/>
    <x v="8"/>
    <n v="3"/>
    <x v="0"/>
    <m/>
    <m/>
    <m/>
    <m/>
    <x v="0"/>
    <m/>
    <m/>
    <m/>
    <m/>
    <m/>
    <m/>
    <m/>
    <m/>
    <m/>
    <m/>
    <m/>
    <m/>
    <m/>
    <m/>
    <m/>
    <s v="{ed32d61a-c2b4-4a09-b95b-bf8c2f3dc956}"/>
    <d v="2020-07-17T14:42:40"/>
    <s v="clark@ccber.ucsb.edu_ucsb"/>
    <d v="2020-07-17T14:42:40"/>
    <s v="clark@ccber.ucsb.edu_ucsb"/>
  </r>
  <r>
    <n v="5"/>
    <d v="2020-07-17T00:00:00"/>
    <d v="2020-07-17T06:58:09"/>
    <x v="9"/>
    <n v="2"/>
    <x v="0"/>
    <m/>
    <m/>
    <m/>
    <m/>
    <x v="0"/>
    <m/>
    <m/>
    <m/>
    <m/>
    <m/>
    <m/>
    <m/>
    <m/>
    <m/>
    <m/>
    <m/>
    <m/>
    <m/>
    <m/>
    <m/>
    <s v="{6ce92c66-00d9-4cdc-b0d9-9c6a3ef4151d}"/>
    <d v="2020-07-17T13:58:09"/>
    <s v="clark@ccber.ucsb.edu_ucsb"/>
    <d v="2020-07-17T13:58:09"/>
    <s v="clark@ccber.ucsb.edu_ucsb"/>
  </r>
  <r>
    <n v="84"/>
    <d v="2020-07-17T00:00:00"/>
    <d v="2020-07-17T07:17:49"/>
    <x v="9"/>
    <n v="1"/>
    <x v="0"/>
    <m/>
    <m/>
    <m/>
    <m/>
    <x v="1"/>
    <m/>
    <m/>
    <m/>
    <m/>
    <m/>
    <m/>
    <m/>
    <m/>
    <m/>
    <m/>
    <m/>
    <m/>
    <m/>
    <m/>
    <m/>
    <s v="{d1659f89-1c83-438b-8b57-11094bd1df79}"/>
    <d v="2020-07-17T14:17:49"/>
    <s v="ccber_user"/>
    <d v="2020-07-17T14:17:49"/>
    <s v="ccber_user"/>
  </r>
  <r>
    <n v="123"/>
    <d v="2020-07-17T00:00:00"/>
    <d v="2020-07-17T08:11:14"/>
    <x v="9"/>
    <n v="1"/>
    <x v="1"/>
    <m/>
    <m/>
    <m/>
    <m/>
    <x v="1"/>
    <m/>
    <m/>
    <m/>
    <m/>
    <m/>
    <m/>
    <m/>
    <m/>
    <m/>
    <m/>
    <m/>
    <m/>
    <m/>
    <m/>
    <m/>
    <s v="{6c99b58b-afd5-4074-a865-c06221e52f62}"/>
    <d v="2020-07-17T15:11:14"/>
    <s v="ccber_user"/>
    <d v="2020-07-17T15:11:14"/>
    <s v="ccber_user"/>
  </r>
  <r>
    <n v="124"/>
    <d v="2020-07-17T00:00:00"/>
    <d v="2020-07-17T08:11:51"/>
    <x v="9"/>
    <n v="1"/>
    <x v="0"/>
    <m/>
    <m/>
    <m/>
    <m/>
    <x v="1"/>
    <m/>
    <m/>
    <m/>
    <m/>
    <m/>
    <m/>
    <m/>
    <m/>
    <m/>
    <m/>
    <m/>
    <m/>
    <m/>
    <m/>
    <m/>
    <s v="{a557800d-7728-4e42-beff-2050034aea11}"/>
    <d v="2020-07-17T15:11:51"/>
    <s v="ccber_user"/>
    <d v="2020-07-17T15:11:51"/>
    <s v="ccber_user"/>
  </r>
  <r>
    <n v="127"/>
    <d v="2020-07-17T00:00:00"/>
    <d v="2020-07-17T08:20:33"/>
    <x v="9"/>
    <n v="1"/>
    <x v="0"/>
    <m/>
    <m/>
    <m/>
    <m/>
    <x v="1"/>
    <m/>
    <m/>
    <m/>
    <m/>
    <m/>
    <m/>
    <m/>
    <m/>
    <m/>
    <m/>
    <m/>
    <m/>
    <m/>
    <m/>
    <m/>
    <s v="{147d6c55-1b3b-4dd5-b8e6-56ace81dc4ec}"/>
    <d v="2020-07-17T15:20:33"/>
    <s v="ccber_user"/>
    <d v="2020-07-17T15:20:33"/>
    <s v="ccber_user"/>
  </r>
  <r>
    <n v="129"/>
    <d v="2020-07-17T00:00:00"/>
    <d v="2020-07-17T08:25:07"/>
    <x v="9"/>
    <n v="1"/>
    <x v="0"/>
    <m/>
    <m/>
    <m/>
    <m/>
    <x v="1"/>
    <m/>
    <m/>
    <m/>
    <m/>
    <m/>
    <m/>
    <m/>
    <m/>
    <m/>
    <m/>
    <m/>
    <m/>
    <m/>
    <m/>
    <m/>
    <s v="{1911bdb1-0ff7-4869-92cf-518d7c4b448d}"/>
    <d v="2020-07-17T15:25:07"/>
    <s v="ccber_user"/>
    <d v="2020-07-17T15:25:07"/>
    <s v="ccber_user"/>
  </r>
  <r>
    <n v="16"/>
    <d v="2020-07-17T00:00:00"/>
    <d v="2020-07-17T07:08:24"/>
    <x v="10"/>
    <n v="1"/>
    <x v="0"/>
    <m/>
    <m/>
    <m/>
    <m/>
    <x v="0"/>
    <m/>
    <m/>
    <m/>
    <m/>
    <m/>
    <m/>
    <m/>
    <m/>
    <m/>
    <m/>
    <m/>
    <m/>
    <m/>
    <m/>
    <m/>
    <s v="{41f02cb5-b7a9-4abc-959d-0a148df263e8}"/>
    <d v="2020-07-17T14:08:24"/>
    <s v="clark@ccber.ucsb.edu_ucsb"/>
    <d v="2020-07-17T14:08:24"/>
    <s v="clark@ccber.ucsb.edu_ucsb"/>
  </r>
  <r>
    <n v="62"/>
    <d v="2020-07-17T00:00:00"/>
    <d v="2020-07-17T08:16:03"/>
    <x v="10"/>
    <n v="1"/>
    <x v="0"/>
    <m/>
    <m/>
    <m/>
    <m/>
    <x v="0"/>
    <m/>
    <m/>
    <m/>
    <m/>
    <m/>
    <m/>
    <m/>
    <m/>
    <m/>
    <m/>
    <m/>
    <m/>
    <m/>
    <m/>
    <m/>
    <s v="{6988b1da-11b3-4f68-8bb4-f5487c0d725a}"/>
    <d v="2020-07-17T15:16:03"/>
    <s v="clark@ccber.ucsb.edu_ucsb"/>
    <d v="2020-07-17T15:16:03"/>
    <s v="clark@ccber.ucsb.edu_ucsb"/>
  </r>
  <r>
    <n v="130"/>
    <d v="2020-07-17T00:00:00"/>
    <d v="2020-07-17T08:26:56"/>
    <x v="10"/>
    <n v="1"/>
    <x v="1"/>
    <m/>
    <m/>
    <m/>
    <s v="Changed Repeat Observation from No to Yes following survey review."/>
    <x v="1"/>
    <m/>
    <m/>
    <m/>
    <m/>
    <m/>
    <m/>
    <m/>
    <m/>
    <m/>
    <m/>
    <m/>
    <m/>
    <m/>
    <m/>
    <m/>
    <s v="{2c736684-7e15-4d13-9e8f-f0291ede36a9}"/>
    <d v="2020-07-17T15:26:56"/>
    <s v="ccber_user"/>
    <d v="2020-07-17T15:26:56"/>
    <s v="ccber_user"/>
  </r>
  <r>
    <n v="141"/>
    <d v="2020-07-17T00:00:00"/>
    <d v="2020-07-17T08:41:30"/>
    <x v="10"/>
    <n v="1"/>
    <x v="1"/>
    <s v="Air"/>
    <m/>
    <m/>
    <s v="Changed Repeat Observation from No to Yes following survey review."/>
    <x v="1"/>
    <m/>
    <m/>
    <m/>
    <m/>
    <m/>
    <m/>
    <m/>
    <m/>
    <m/>
    <m/>
    <m/>
    <m/>
    <m/>
    <m/>
    <m/>
    <s v="{683ea36f-1bb5-4f8d-b191-28fd57350039}"/>
    <d v="2020-07-17T15:41:30"/>
    <s v="ccber_user"/>
    <d v="2020-07-17T15:41:30"/>
    <s v="ccber_user"/>
  </r>
  <r>
    <n v="50"/>
    <d v="2020-07-17T00:00:00"/>
    <d v="2020-07-17T07:43:37"/>
    <x v="11"/>
    <n v="1"/>
    <x v="0"/>
    <m/>
    <m/>
    <m/>
    <m/>
    <x v="0"/>
    <m/>
    <m/>
    <m/>
    <m/>
    <m/>
    <m/>
    <m/>
    <m/>
    <m/>
    <m/>
    <m/>
    <m/>
    <m/>
    <m/>
    <m/>
    <s v="{e7db3739-16ec-4fdf-87ce-bad02f4a1d63}"/>
    <d v="2020-07-17T14:43:37"/>
    <s v="clark@ccber.ucsb.edu_ucsb"/>
    <d v="2020-07-17T14:43:37"/>
    <s v="clark@ccber.ucsb.edu_ucsb"/>
  </r>
  <r>
    <n v="111"/>
    <d v="2020-07-17T00:00:00"/>
    <d v="2020-07-17T07:57:59"/>
    <x v="11"/>
    <n v="3"/>
    <x v="0"/>
    <m/>
    <m/>
    <m/>
    <m/>
    <x v="1"/>
    <m/>
    <m/>
    <m/>
    <m/>
    <m/>
    <m/>
    <m/>
    <m/>
    <m/>
    <m/>
    <m/>
    <m/>
    <m/>
    <m/>
    <m/>
    <s v="{fa887a19-d07a-4b7d-b6a5-b819af364702}"/>
    <d v="2020-07-17T14:57:59"/>
    <s v="ccber_user"/>
    <d v="2020-07-17T14:57:59"/>
    <s v="ccber_user"/>
  </r>
  <r>
    <n v="57"/>
    <d v="2020-07-17T00:00:00"/>
    <d v="2020-07-17T08:02:01"/>
    <x v="11"/>
    <n v="1"/>
    <x v="0"/>
    <m/>
    <m/>
    <m/>
    <m/>
    <x v="0"/>
    <m/>
    <m/>
    <m/>
    <m/>
    <m/>
    <m/>
    <m/>
    <m/>
    <m/>
    <m/>
    <m/>
    <m/>
    <m/>
    <m/>
    <m/>
    <s v="{71889fec-e576-4110-83da-99fe0f34c1f3}"/>
    <d v="2020-07-17T15:02:01"/>
    <s v="clark@ccber.ucsb.edu_ucsb"/>
    <d v="2020-07-17T15:02:01"/>
    <s v="clark@ccber.ucsb.edu_ucsb"/>
  </r>
  <r>
    <n v="59"/>
    <d v="2020-07-17T00:00:00"/>
    <d v="2020-07-17T08:04:17"/>
    <x v="11"/>
    <n v="3"/>
    <x v="0"/>
    <m/>
    <m/>
    <m/>
    <m/>
    <x v="0"/>
    <m/>
    <m/>
    <m/>
    <m/>
    <m/>
    <m/>
    <m/>
    <m/>
    <m/>
    <m/>
    <m/>
    <m/>
    <m/>
    <m/>
    <m/>
    <s v="{a0bba76d-050e-41ed-add2-2b2a95ab9521}"/>
    <d v="2020-07-17T15:04:17"/>
    <s v="clark@ccber.ucsb.edu_ucsb"/>
    <d v="2020-07-17T15:06:54"/>
    <s v="clark@ccber.ucsb.edu_ucsb"/>
  </r>
  <r>
    <n v="117"/>
    <d v="2020-07-17T00:00:00"/>
    <d v="2020-07-17T08:05:24"/>
    <x v="11"/>
    <n v="2"/>
    <x v="0"/>
    <m/>
    <m/>
    <m/>
    <s v="juvenile "/>
    <x v="1"/>
    <m/>
    <m/>
    <m/>
    <m/>
    <m/>
    <m/>
    <m/>
    <m/>
    <m/>
    <m/>
    <m/>
    <m/>
    <m/>
    <m/>
    <m/>
    <s v="{e393a4ed-fab3-46b4-be1d-faca3771ae11}"/>
    <d v="2020-07-17T15:05:24"/>
    <s v="ccber_user"/>
    <d v="2020-07-17T15:05:24"/>
    <s v="ccber_user"/>
  </r>
  <r>
    <n v="120"/>
    <d v="2020-07-17T00:00:00"/>
    <d v="2020-07-17T08:07:53"/>
    <x v="11"/>
    <n v="1"/>
    <x v="0"/>
    <m/>
    <m/>
    <m/>
    <m/>
    <x v="1"/>
    <m/>
    <m/>
    <m/>
    <m/>
    <m/>
    <m/>
    <m/>
    <m/>
    <m/>
    <m/>
    <m/>
    <m/>
    <m/>
    <m/>
    <m/>
    <s v="{56317666-7e83-4839-8f0b-3c7ce9677a3b}"/>
    <d v="2020-07-17T15:07:53"/>
    <s v="ccber_user"/>
    <d v="2020-07-17T15:07:53"/>
    <s v="ccber_user"/>
  </r>
  <r>
    <n v="136"/>
    <d v="2020-07-17T00:00:00"/>
    <d v="2020-07-17T08:36:34"/>
    <x v="11"/>
    <n v="1"/>
    <x v="0"/>
    <m/>
    <m/>
    <m/>
    <m/>
    <x v="1"/>
    <m/>
    <m/>
    <m/>
    <m/>
    <m/>
    <m/>
    <m/>
    <m/>
    <m/>
    <m/>
    <m/>
    <m/>
    <m/>
    <m/>
    <m/>
    <s v="{a38813b3-9a41-48b8-9be9-59094c458739}"/>
    <d v="2020-07-17T15:36:34"/>
    <s v="ccber_user"/>
    <d v="2020-07-17T15:36:34"/>
    <s v="ccber_user"/>
  </r>
  <r>
    <n v="143"/>
    <d v="2020-07-17T00:00:00"/>
    <d v="2020-07-17T08:51:42"/>
    <x v="11"/>
    <n v="1"/>
    <x v="0"/>
    <m/>
    <m/>
    <m/>
    <m/>
    <x v="1"/>
    <m/>
    <m/>
    <m/>
    <m/>
    <m/>
    <m/>
    <m/>
    <m/>
    <m/>
    <m/>
    <m/>
    <m/>
    <m/>
    <m/>
    <m/>
    <s v="{5f8b768a-0d41-42a2-bc12-4d487bd9197b}"/>
    <d v="2020-07-17T15:51:42"/>
    <s v="ccber_user"/>
    <d v="2020-07-17T15:51:42"/>
    <s v="ccber_user"/>
  </r>
  <r>
    <n v="12"/>
    <d v="2020-07-17T00:00:00"/>
    <d v="2020-07-17T07:05:32"/>
    <x v="12"/>
    <n v="1"/>
    <x v="0"/>
    <m/>
    <m/>
    <m/>
    <m/>
    <x v="0"/>
    <m/>
    <m/>
    <m/>
    <m/>
    <m/>
    <m/>
    <m/>
    <m/>
    <m/>
    <m/>
    <m/>
    <m/>
    <m/>
    <m/>
    <m/>
    <s v="{2af1ab61-70d1-4eea-a8ce-59377d4b136c}"/>
    <d v="2020-07-17T14:05:32"/>
    <s v="clark@ccber.ucsb.edu_ucsb"/>
    <d v="2020-07-17T14:05:32"/>
    <s v="clark@ccber.ucsb.edu_ucsb"/>
  </r>
  <r>
    <n v="18"/>
    <d v="2020-07-17T00:00:00"/>
    <d v="2020-07-17T07:10:10"/>
    <x v="12"/>
    <n v="1"/>
    <x v="0"/>
    <m/>
    <m/>
    <m/>
    <m/>
    <x v="0"/>
    <m/>
    <m/>
    <m/>
    <m/>
    <m/>
    <m/>
    <m/>
    <m/>
    <m/>
    <m/>
    <m/>
    <m/>
    <m/>
    <m/>
    <m/>
    <s v="{65f89e41-7aa0-4c69-a6dc-5a997c7f186a}"/>
    <d v="2020-07-17T14:10:10"/>
    <s v="clark@ccber.ucsb.edu_ucsb"/>
    <d v="2020-07-17T14:10:10"/>
    <s v="clark@ccber.ucsb.edu_ucsb"/>
  </r>
  <r>
    <n v="95"/>
    <d v="2020-07-17T00:00:00"/>
    <d v="2020-07-17T07:32:10"/>
    <x v="12"/>
    <n v="1"/>
    <x v="0"/>
    <s v="Air"/>
    <m/>
    <m/>
    <m/>
    <x v="1"/>
    <m/>
    <m/>
    <m/>
    <m/>
    <m/>
    <m/>
    <m/>
    <m/>
    <m/>
    <m/>
    <m/>
    <m/>
    <m/>
    <m/>
    <m/>
    <s v="{1d88a1a3-d0b5-49d8-906e-77cb3d5e310b}"/>
    <d v="2020-07-17T14:32:10"/>
    <s v="ccber_user"/>
    <d v="2020-07-17T14:32:10"/>
    <s v="ccber_user"/>
  </r>
  <r>
    <n v="70"/>
    <d v="2020-07-17T00:00:00"/>
    <d v="2020-07-17T06:57:51"/>
    <x v="13"/>
    <n v="2"/>
    <x v="0"/>
    <m/>
    <m/>
    <m/>
    <m/>
    <x v="1"/>
    <m/>
    <m/>
    <m/>
    <m/>
    <m/>
    <m/>
    <m/>
    <m/>
    <m/>
    <m/>
    <m/>
    <m/>
    <m/>
    <m/>
    <m/>
    <s v="{54978d6f-d876-4fd5-b04f-034d13141e67}"/>
    <d v="2020-07-17T13:57:51"/>
    <s v="ccber_user"/>
    <d v="2020-07-17T13:57:51"/>
    <s v="ccber_user"/>
  </r>
  <r>
    <n v="26"/>
    <d v="2020-07-17T00:00:00"/>
    <d v="2020-07-17T07:18:33"/>
    <x v="13"/>
    <n v="25"/>
    <x v="0"/>
    <m/>
    <m/>
    <m/>
    <m/>
    <x v="0"/>
    <m/>
    <m/>
    <m/>
    <m/>
    <m/>
    <m/>
    <m/>
    <m/>
    <m/>
    <m/>
    <m/>
    <m/>
    <m/>
    <m/>
    <m/>
    <s v="{094fe4d0-a164-4ae1-b6db-a2e2b1d1dd27}"/>
    <d v="2020-07-17T14:18:33"/>
    <s v="clark@ccber.ucsb.edu_ucsb"/>
    <d v="2020-07-17T14:18:33"/>
    <s v="clark@ccber.ucsb.edu_ucsb"/>
  </r>
  <r>
    <n v="93"/>
    <d v="2020-07-17T00:00:00"/>
    <d v="2020-07-17T07:27:32"/>
    <x v="13"/>
    <n v="8"/>
    <x v="0"/>
    <m/>
    <m/>
    <m/>
    <m/>
    <x v="1"/>
    <m/>
    <m/>
    <m/>
    <m/>
    <m/>
    <m/>
    <m/>
    <m/>
    <m/>
    <m/>
    <m/>
    <m/>
    <m/>
    <m/>
    <m/>
    <s v="{f259553b-66c0-4d3d-975b-69e48823c053}"/>
    <d v="2020-07-17T14:27:32"/>
    <s v="ccber_user"/>
    <d v="2020-07-17T14:27:32"/>
    <s v="ccber_user"/>
  </r>
  <r>
    <n v="39"/>
    <d v="2020-07-17T00:00:00"/>
    <d v="2020-07-17T07:32:09"/>
    <x v="13"/>
    <n v="25"/>
    <x v="1"/>
    <m/>
    <m/>
    <m/>
    <m/>
    <x v="0"/>
    <m/>
    <m/>
    <m/>
    <m/>
    <m/>
    <m/>
    <m/>
    <m/>
    <m/>
    <m/>
    <m/>
    <m/>
    <m/>
    <m/>
    <m/>
    <s v="{cc24308b-12d9-4b96-b94e-a21701dacd92}"/>
    <d v="2020-07-17T14:32:09"/>
    <s v="clark@ccber.ucsb.edu_ucsb"/>
    <d v="2020-07-17T14:32:55"/>
    <s v="clark@ccber.ucsb.edu_ucsb"/>
  </r>
  <r>
    <n v="103"/>
    <d v="2020-07-17T00:00:00"/>
    <d v="2020-07-17T07:45:53"/>
    <x v="13"/>
    <n v="2"/>
    <x v="0"/>
    <m/>
    <m/>
    <m/>
    <m/>
    <x v="1"/>
    <m/>
    <m/>
    <m/>
    <m/>
    <m/>
    <m/>
    <m/>
    <m/>
    <m/>
    <m/>
    <m/>
    <m/>
    <m/>
    <m/>
    <m/>
    <s v="{7063294b-f25d-492a-aa04-5dbe5571e702}"/>
    <d v="2020-07-17T14:45:53"/>
    <s v="ccber_user"/>
    <d v="2020-07-17T14:45:53"/>
    <s v="ccber_user"/>
  </r>
  <r>
    <n v="78"/>
    <d v="2020-07-17T00:00:00"/>
    <d v="2020-07-17T07:09:17"/>
    <x v="14"/>
    <n v="1"/>
    <x v="0"/>
    <m/>
    <m/>
    <m/>
    <m/>
    <x v="1"/>
    <m/>
    <m/>
    <m/>
    <m/>
    <m/>
    <m/>
    <m/>
    <m/>
    <m/>
    <m/>
    <m/>
    <m/>
    <m/>
    <m/>
    <m/>
    <s v="{56b764d7-5b01-41af-921a-281b028a6557}"/>
    <d v="2020-07-17T14:09:17"/>
    <s v="ccber_user"/>
    <d v="2020-07-17T14:09:17"/>
    <s v="ccber_user"/>
  </r>
  <r>
    <n v="48"/>
    <d v="2020-07-17T00:00:00"/>
    <d v="2020-07-17T07:40:51"/>
    <x v="14"/>
    <n v="3"/>
    <x v="0"/>
    <m/>
    <m/>
    <m/>
    <m/>
    <x v="0"/>
    <m/>
    <m/>
    <m/>
    <m/>
    <m/>
    <m/>
    <m/>
    <m/>
    <m/>
    <m/>
    <m/>
    <m/>
    <m/>
    <m/>
    <m/>
    <s v="{3b5c9be2-0688-4477-a3e9-110529284560}"/>
    <d v="2020-07-17T14:40:51"/>
    <s v="clark@ccber.ucsb.edu_ucsb"/>
    <d v="2020-07-17T14:40:51"/>
    <s v="clark@ccber.ucsb.edu_ucsb"/>
  </r>
  <r>
    <n v="58"/>
    <d v="2020-07-17T00:00:00"/>
    <d v="2020-07-17T08:03:50"/>
    <x v="14"/>
    <n v="1"/>
    <x v="0"/>
    <m/>
    <m/>
    <m/>
    <m/>
    <x v="0"/>
    <m/>
    <m/>
    <m/>
    <m/>
    <m/>
    <m/>
    <m/>
    <m/>
    <m/>
    <m/>
    <m/>
    <m/>
    <m/>
    <m/>
    <m/>
    <s v="{f5122eec-f416-4b5e-b5c3-651219183b94}"/>
    <d v="2020-07-17T15:03:50"/>
    <s v="clark@ccber.ucsb.edu_ucsb"/>
    <d v="2020-07-17T15:03:50"/>
    <s v="clark@ccber.ucsb.edu_ucsb"/>
  </r>
  <r>
    <n v="61"/>
    <d v="2020-07-17T00:00:00"/>
    <d v="2020-07-17T08:07:09"/>
    <x v="14"/>
    <n v="1"/>
    <x v="0"/>
    <m/>
    <m/>
    <m/>
    <m/>
    <x v="0"/>
    <m/>
    <m/>
    <m/>
    <m/>
    <m/>
    <m/>
    <m/>
    <m/>
    <m/>
    <m/>
    <m/>
    <m/>
    <m/>
    <m/>
    <m/>
    <s v="{37ab3cfa-69b5-404f-a07c-8d88a051a982}"/>
    <d v="2020-07-17T15:07:09"/>
    <s v="clark@ccber.ucsb.edu_ucsb"/>
    <d v="2020-07-17T15:07:09"/>
    <s v="clark@ccber.ucsb.edu_ucsb"/>
  </r>
  <r>
    <n v="142"/>
    <d v="2020-07-17T00:00:00"/>
    <d v="2020-07-17T08:43:17"/>
    <x v="14"/>
    <n v="2"/>
    <x v="0"/>
    <m/>
    <m/>
    <s v="Feeding/Begging"/>
    <m/>
    <x v="1"/>
    <m/>
    <m/>
    <m/>
    <m/>
    <m/>
    <m/>
    <m/>
    <m/>
    <m/>
    <m/>
    <m/>
    <m/>
    <m/>
    <m/>
    <m/>
    <s v="{c93f7e6f-27a8-4658-a835-b7d37f9443c1}"/>
    <d v="2020-07-17T15:43:17"/>
    <s v="ccber_user"/>
    <d v="2020-07-17T15:47:35"/>
    <s v="ccber_user"/>
  </r>
  <r>
    <n v="9"/>
    <d v="2020-07-17T00:00:00"/>
    <d v="2020-07-17T07:01:57"/>
    <x v="15"/>
    <n v="8"/>
    <x v="0"/>
    <m/>
    <m/>
    <m/>
    <m/>
    <x v="0"/>
    <m/>
    <m/>
    <m/>
    <m/>
    <m/>
    <m/>
    <m/>
    <m/>
    <m/>
    <m/>
    <m/>
    <m/>
    <m/>
    <m/>
    <m/>
    <s v="{4802a7c9-74ce-4fcf-96d3-0ec4d4ec7b82}"/>
    <d v="2020-07-17T14:01:57"/>
    <s v="clark@ccber.ucsb.edu_ucsb"/>
    <d v="2020-07-17T14:04:07"/>
    <s v="clark@ccber.ucsb.edu_ucsb"/>
  </r>
  <r>
    <n v="23"/>
    <d v="2020-07-17T00:00:00"/>
    <d v="2020-07-17T07:14:51"/>
    <x v="15"/>
    <n v="4"/>
    <x v="0"/>
    <m/>
    <m/>
    <m/>
    <m/>
    <x v="0"/>
    <m/>
    <m/>
    <m/>
    <m/>
    <m/>
    <m/>
    <m/>
    <m/>
    <m/>
    <m/>
    <m/>
    <m/>
    <m/>
    <m/>
    <m/>
    <s v="{43ae9c83-69b6-4efc-b3dc-11f224d0146a}"/>
    <d v="2020-07-17T14:14:51"/>
    <s v="clark@ccber.ucsb.edu_ucsb"/>
    <d v="2020-07-17T14:14:51"/>
    <s v="clark@ccber.ucsb.edu_ucsb"/>
  </r>
  <r>
    <n v="24"/>
    <d v="2020-07-17T00:00:00"/>
    <d v="2020-07-17T07:15:31"/>
    <x v="15"/>
    <n v="4"/>
    <x v="0"/>
    <m/>
    <m/>
    <m/>
    <m/>
    <x v="0"/>
    <m/>
    <m/>
    <m/>
    <m/>
    <m/>
    <m/>
    <m/>
    <m/>
    <m/>
    <m/>
    <m/>
    <m/>
    <m/>
    <m/>
    <m/>
    <s v="{ab487ab9-2b31-49b2-8e87-1b562e3478bf}"/>
    <d v="2020-07-17T14:15:31"/>
    <s v="clark@ccber.ucsb.edu_ucsb"/>
    <d v="2020-07-17T14:15:31"/>
    <s v="clark@ccber.ucsb.edu_ucsb"/>
  </r>
  <r>
    <n v="104"/>
    <d v="2020-07-17T00:00:00"/>
    <d v="2020-07-17T07:46:36"/>
    <x v="15"/>
    <n v="1"/>
    <x v="0"/>
    <s v="Air"/>
    <m/>
    <m/>
    <m/>
    <x v="1"/>
    <m/>
    <m/>
    <m/>
    <m/>
    <m/>
    <m/>
    <m/>
    <m/>
    <m/>
    <m/>
    <m/>
    <m/>
    <m/>
    <m/>
    <m/>
    <s v="{95a3733b-2346-4c67-81d2-8610708c8134}"/>
    <d v="2020-07-17T14:46:36"/>
    <s v="ccber_user"/>
    <d v="2020-07-17T14:46:36"/>
    <s v="ccber_user"/>
  </r>
  <r>
    <n v="134"/>
    <d v="2020-07-17T00:00:00"/>
    <d v="2020-07-17T08:34:36"/>
    <x v="15"/>
    <n v="2"/>
    <x v="0"/>
    <m/>
    <m/>
    <m/>
    <m/>
    <x v="1"/>
    <m/>
    <m/>
    <m/>
    <m/>
    <m/>
    <m/>
    <m/>
    <m/>
    <m/>
    <m/>
    <m/>
    <m/>
    <m/>
    <m/>
    <m/>
    <s v="{b13197bf-1f23-4869-a253-1bedec9c0609}"/>
    <d v="2020-07-17T15:34:36"/>
    <s v="ccber_user"/>
    <d v="2020-07-17T15:34:36"/>
    <s v="ccber_user"/>
  </r>
  <r>
    <n v="88"/>
    <d v="2020-07-17T00:00:00"/>
    <d v="2020-07-17T07:19:04"/>
    <x v="16"/>
    <n v="1"/>
    <x v="0"/>
    <m/>
    <m/>
    <m/>
    <m/>
    <x v="1"/>
    <m/>
    <m/>
    <m/>
    <m/>
    <m/>
    <m/>
    <m/>
    <m/>
    <m/>
    <m/>
    <m/>
    <m/>
    <m/>
    <m/>
    <m/>
    <s v="{f63d395e-a75e-419d-a9eb-feea721d3570}"/>
    <d v="2020-07-17T14:19:04"/>
    <s v="ccber_user"/>
    <d v="2020-07-17T14:19:04"/>
    <s v="ccber_user"/>
  </r>
  <r>
    <n v="27"/>
    <d v="2020-07-17T00:00:00"/>
    <d v="2020-07-17T07:19:49"/>
    <x v="17"/>
    <n v="1"/>
    <x v="0"/>
    <m/>
    <m/>
    <m/>
    <s v="Count not recorded in the field. Assumed to be 1."/>
    <x v="0"/>
    <m/>
    <m/>
    <m/>
    <m/>
    <m/>
    <m/>
    <m/>
    <m/>
    <m/>
    <m/>
    <m/>
    <m/>
    <m/>
    <m/>
    <m/>
    <s v="{9ae1076e-44a0-4799-854a-eddb55105806}"/>
    <d v="2020-07-17T14:19:49"/>
    <s v="clark@ccber.ucsb.edu_ucsb"/>
    <d v="2020-07-17T14:19:49"/>
    <s v="clark@ccber.ucsb.edu_ucsb"/>
  </r>
  <r>
    <n v="138"/>
    <d v="2020-07-17T00:00:00"/>
    <d v="2020-07-17T08:37:37"/>
    <x v="18"/>
    <n v="3"/>
    <x v="0"/>
    <m/>
    <m/>
    <m/>
    <m/>
    <x v="1"/>
    <m/>
    <m/>
    <m/>
    <m/>
    <m/>
    <m/>
    <m/>
    <m/>
    <m/>
    <m/>
    <m/>
    <m/>
    <m/>
    <m/>
    <m/>
    <s v="{653d9ae4-372e-4ea5-a419-38ef9c52cb1c}"/>
    <d v="2020-07-17T15:37:37"/>
    <s v="ccber_user"/>
    <d v="2020-07-17T15:38:30"/>
    <s v="ccber_user"/>
  </r>
  <r>
    <n v="132"/>
    <d v="2020-07-17T00:00:00"/>
    <d v="2020-07-17T08:34:14"/>
    <x v="19"/>
    <n v="1"/>
    <x v="0"/>
    <m/>
    <m/>
    <m/>
    <m/>
    <x v="1"/>
    <m/>
    <m/>
    <m/>
    <m/>
    <m/>
    <m/>
    <m/>
    <m/>
    <m/>
    <m/>
    <m/>
    <m/>
    <m/>
    <m/>
    <m/>
    <s v="{2f316924-82f3-41fc-8b95-22accecc66b0}"/>
    <d v="2020-07-17T15:34:14"/>
    <s v="ccber_user"/>
    <d v="2020-07-17T15:34:14"/>
    <s v="ccber_user"/>
  </r>
  <r>
    <n v="38"/>
    <d v="2020-07-17T00:00:00"/>
    <d v="2020-07-17T07:26:54"/>
    <x v="20"/>
    <n v="29"/>
    <x v="0"/>
    <m/>
    <m/>
    <m/>
    <m/>
    <x v="0"/>
    <m/>
    <m/>
    <m/>
    <m/>
    <m/>
    <m/>
    <m/>
    <m/>
    <m/>
    <m/>
    <m/>
    <m/>
    <m/>
    <m/>
    <m/>
    <s v="{ac3c97ba-44a2-48f7-8d5c-e8b06fbe11d1}"/>
    <d v="2020-07-17T14:26:54"/>
    <s v="clark@ccber.ucsb.edu_ucsb"/>
    <d v="2020-07-17T14:26:54"/>
    <s v="clark@ccber.ucsb.edu_ucsb"/>
  </r>
  <r>
    <n v="11"/>
    <d v="2020-07-17T00:00:00"/>
    <d v="2020-07-17T07:04:46"/>
    <x v="21"/>
    <n v="1"/>
    <x v="0"/>
    <m/>
    <m/>
    <m/>
    <m/>
    <x v="0"/>
    <m/>
    <m/>
    <m/>
    <m/>
    <m/>
    <m/>
    <m/>
    <m/>
    <m/>
    <m/>
    <m/>
    <m/>
    <m/>
    <m/>
    <m/>
    <s v="{3c2e1f13-49c3-485b-9c9b-c389b3c0f774}"/>
    <d v="2020-07-17T14:04:46"/>
    <s v="clark@ccber.ucsb.edu_ucsb"/>
    <d v="2020-07-17T14:04:46"/>
    <s v="clark@ccber.ucsb.edu_ucsb"/>
  </r>
  <r>
    <n v="30"/>
    <d v="2020-07-17T00:00:00"/>
    <d v="2020-07-17T07:21:20"/>
    <x v="21"/>
    <n v="1"/>
    <x v="0"/>
    <m/>
    <m/>
    <m/>
    <m/>
    <x v="0"/>
    <m/>
    <m/>
    <m/>
    <m/>
    <m/>
    <m/>
    <m/>
    <m/>
    <m/>
    <m/>
    <m/>
    <m/>
    <m/>
    <m/>
    <m/>
    <s v="{0943f3e9-2a84-463e-856e-119150453654}"/>
    <d v="2020-07-17T14:21:20"/>
    <s v="clark@ccber.ucsb.edu_ucsb"/>
    <d v="2020-07-17T14:21:20"/>
    <s v="clark@ccber.ucsb.edu_ucsb"/>
  </r>
  <r>
    <n v="89"/>
    <d v="2020-07-17T00:00:00"/>
    <d v="2020-07-17T07:24:55"/>
    <x v="21"/>
    <n v="1"/>
    <x v="0"/>
    <m/>
    <m/>
    <s v="Feeding/Begging"/>
    <m/>
    <x v="1"/>
    <m/>
    <m/>
    <m/>
    <m/>
    <m/>
    <m/>
    <m/>
    <m/>
    <m/>
    <m/>
    <m/>
    <m/>
    <m/>
    <m/>
    <m/>
    <s v="{8c6752b1-0985-4b6f-88d7-1a9b1f7fdec4}"/>
    <d v="2020-07-17T14:24:55"/>
    <s v="ccber_user"/>
    <d v="2020-07-17T14:24:55"/>
    <s v="ccber_user"/>
  </r>
  <r>
    <n v="90"/>
    <d v="2020-07-17T00:00:00"/>
    <d v="2020-07-17T07:25:39"/>
    <x v="21"/>
    <n v="1"/>
    <x v="0"/>
    <m/>
    <m/>
    <m/>
    <m/>
    <x v="1"/>
    <m/>
    <m/>
    <m/>
    <m/>
    <m/>
    <m/>
    <m/>
    <m/>
    <m/>
    <m/>
    <m/>
    <m/>
    <m/>
    <m/>
    <m/>
    <s v="{358ea6d8-2b10-4030-a843-dd36b8f8b250}"/>
    <d v="2020-07-17T14:25:39"/>
    <s v="ccber_user"/>
    <d v="2020-07-17T14:25:39"/>
    <s v="ccber_user"/>
  </r>
  <r>
    <n v="121"/>
    <d v="2020-07-17T00:00:00"/>
    <d v="2020-07-17T08:10:36"/>
    <x v="21"/>
    <n v="1"/>
    <x v="0"/>
    <m/>
    <m/>
    <m/>
    <m/>
    <x v="1"/>
    <m/>
    <m/>
    <m/>
    <m/>
    <m/>
    <m/>
    <m/>
    <m/>
    <m/>
    <m/>
    <m/>
    <m/>
    <m/>
    <m/>
    <m/>
    <s v="{b1e98a9c-d70a-4eaa-b002-f116684fc517}"/>
    <d v="2020-07-17T15:10:36"/>
    <s v="ccber_user"/>
    <d v="2020-07-17T15:10:36"/>
    <s v="ccber_user"/>
  </r>
  <r>
    <n v="122"/>
    <d v="2020-07-17T00:00:00"/>
    <d v="2020-07-17T08:10:47"/>
    <x v="21"/>
    <n v="1"/>
    <x v="0"/>
    <m/>
    <m/>
    <m/>
    <m/>
    <x v="1"/>
    <m/>
    <m/>
    <m/>
    <m/>
    <m/>
    <m/>
    <m/>
    <m/>
    <m/>
    <m/>
    <m/>
    <m/>
    <m/>
    <m/>
    <m/>
    <s v="{031c319d-220c-4392-b0a8-5f5c385663d4}"/>
    <d v="2020-07-17T15:10:47"/>
    <s v="ccber_user"/>
    <d v="2020-07-17T15:10:47"/>
    <s v="ccber_user"/>
  </r>
  <r>
    <n v="71"/>
    <d v="2020-07-17T00:00:00"/>
    <d v="2020-07-17T06:59:06"/>
    <x v="22"/>
    <n v="4"/>
    <x v="0"/>
    <m/>
    <m/>
    <m/>
    <m/>
    <x v="1"/>
    <m/>
    <m/>
    <m/>
    <m/>
    <m/>
    <m/>
    <m/>
    <m/>
    <m/>
    <m/>
    <m/>
    <m/>
    <m/>
    <m/>
    <m/>
    <s v="{0538e355-fa00-4576-81cf-077e45253f83}"/>
    <d v="2020-07-17T13:59:06"/>
    <s v="ccber_user"/>
    <d v="2020-07-17T13:59:06"/>
    <s v="ccber_user"/>
  </r>
  <r>
    <n v="20"/>
    <d v="2020-07-17T00:00:00"/>
    <d v="2020-07-17T07:12:19"/>
    <x v="22"/>
    <n v="2"/>
    <x v="0"/>
    <m/>
    <m/>
    <m/>
    <m/>
    <x v="0"/>
    <m/>
    <m/>
    <m/>
    <m/>
    <m/>
    <m/>
    <m/>
    <m/>
    <m/>
    <m/>
    <m/>
    <m/>
    <m/>
    <m/>
    <m/>
    <s v="{1e9395ca-ff4f-4722-b354-dc1b5b0411d9}"/>
    <d v="2020-07-17T14:12:19"/>
    <s v="clark@ccber.ucsb.edu_ucsb"/>
    <d v="2020-07-17T14:12:19"/>
    <s v="clark@ccber.ucsb.edu_ucsb"/>
  </r>
  <r>
    <n v="21"/>
    <d v="2020-07-17T00:00:00"/>
    <d v="2020-07-17T07:12:59"/>
    <x v="22"/>
    <n v="3"/>
    <x v="0"/>
    <m/>
    <m/>
    <m/>
    <m/>
    <x v="0"/>
    <m/>
    <m/>
    <m/>
    <m/>
    <m/>
    <m/>
    <m/>
    <m/>
    <m/>
    <m/>
    <m/>
    <m/>
    <m/>
    <m/>
    <m/>
    <s v="{337122e0-c18f-45f7-8443-604e1fe9a2fd}"/>
    <d v="2020-07-17T14:12:59"/>
    <s v="clark@ccber.ucsb.edu_ucsb"/>
    <d v="2020-07-17T14:12:59"/>
    <s v="clark@ccber.ucsb.edu_ucsb"/>
  </r>
  <r>
    <n v="81"/>
    <d v="2020-07-17T00:00:00"/>
    <d v="2020-07-17T07:15:26"/>
    <x v="22"/>
    <n v="2"/>
    <x v="0"/>
    <m/>
    <m/>
    <m/>
    <m/>
    <x v="1"/>
    <m/>
    <m/>
    <m/>
    <m/>
    <m/>
    <m/>
    <m/>
    <m/>
    <m/>
    <m/>
    <m/>
    <m/>
    <m/>
    <m/>
    <m/>
    <s v="{f75123e9-9fe4-44b8-af19-6358bd33f72e}"/>
    <d v="2020-07-17T14:15:26"/>
    <s v="ccber_user"/>
    <d v="2020-07-17T14:15:26"/>
    <s v="ccber_user"/>
  </r>
  <r>
    <n v="34"/>
    <d v="2020-07-17T00:00:00"/>
    <d v="2020-07-17T07:24:40"/>
    <x v="22"/>
    <n v="2"/>
    <x v="0"/>
    <m/>
    <m/>
    <m/>
    <m/>
    <x v="0"/>
    <m/>
    <m/>
    <m/>
    <m/>
    <m/>
    <m/>
    <m/>
    <m/>
    <m/>
    <m/>
    <m/>
    <m/>
    <m/>
    <m/>
    <m/>
    <s v="{cfd933e6-f4b9-4d45-862e-d6bbed004e4e}"/>
    <d v="2020-07-17T14:24:40"/>
    <s v="clark@ccber.ucsb.edu_ucsb"/>
    <d v="2020-07-17T14:24:40"/>
    <s v="clark@ccber.ucsb.edu_ucsb"/>
  </r>
  <r>
    <n v="96"/>
    <d v="2020-07-17T00:00:00"/>
    <d v="2020-07-17T07:32:30"/>
    <x v="22"/>
    <n v="7"/>
    <x v="0"/>
    <m/>
    <m/>
    <m/>
    <m/>
    <x v="1"/>
    <m/>
    <m/>
    <m/>
    <m/>
    <m/>
    <m/>
    <m/>
    <m/>
    <m/>
    <m/>
    <m/>
    <m/>
    <m/>
    <m/>
    <m/>
    <s v="{8412f4b5-1cdf-4d7c-9719-e6fd5a12fed9}"/>
    <d v="2020-07-17T14:32:30"/>
    <s v="ccber_user"/>
    <d v="2020-07-17T14:32:30"/>
    <s v="ccber_user"/>
  </r>
  <r>
    <n v="99"/>
    <d v="2020-07-17T00:00:00"/>
    <d v="2020-07-17T07:41:04"/>
    <x v="22"/>
    <n v="5"/>
    <x v="0"/>
    <m/>
    <m/>
    <m/>
    <m/>
    <x v="1"/>
    <m/>
    <m/>
    <m/>
    <m/>
    <m/>
    <m/>
    <m/>
    <m/>
    <m/>
    <m/>
    <m/>
    <m/>
    <m/>
    <m/>
    <m/>
    <s v="{0afa9677-ad03-4b8b-8631-080d4ad62351}"/>
    <d v="2020-07-17T14:41:04"/>
    <s v="ccber_user"/>
    <d v="2020-07-17T14:42:07"/>
    <s v="ccber_user"/>
  </r>
  <r>
    <n v="107"/>
    <d v="2020-07-17T00:00:00"/>
    <d v="2020-07-17T07:51:04"/>
    <x v="22"/>
    <n v="5"/>
    <x v="0"/>
    <m/>
    <m/>
    <m/>
    <m/>
    <x v="1"/>
    <m/>
    <m/>
    <m/>
    <m/>
    <m/>
    <m/>
    <m/>
    <m/>
    <m/>
    <m/>
    <m/>
    <m/>
    <m/>
    <m/>
    <m/>
    <s v="{607f7e29-3b5f-4f76-b3c3-90b88440e6de}"/>
    <d v="2020-07-17T14:51:04"/>
    <s v="ccber_user"/>
    <d v="2020-07-17T14:51:04"/>
    <s v="ccber_user"/>
  </r>
  <r>
    <n v="110"/>
    <d v="2020-07-17T00:00:00"/>
    <d v="2020-07-17T07:54:53"/>
    <x v="22"/>
    <n v="3"/>
    <x v="0"/>
    <m/>
    <m/>
    <m/>
    <m/>
    <x v="1"/>
    <m/>
    <m/>
    <m/>
    <m/>
    <m/>
    <m/>
    <m/>
    <m/>
    <m/>
    <m/>
    <m/>
    <m/>
    <m/>
    <m/>
    <m/>
    <s v="{2ebac9ae-e759-4a6a-91db-3743392e98c7}"/>
    <d v="2020-07-17T14:54:53"/>
    <s v="ccber_user"/>
    <d v="2020-07-17T14:54:53"/>
    <s v="ccber_user"/>
  </r>
  <r>
    <n v="56"/>
    <d v="2020-07-17T00:00:00"/>
    <d v="2020-07-17T07:57:17"/>
    <x v="22"/>
    <n v="4"/>
    <x v="0"/>
    <m/>
    <m/>
    <m/>
    <m/>
    <x v="0"/>
    <m/>
    <m/>
    <m/>
    <m/>
    <m/>
    <m/>
    <m/>
    <m/>
    <m/>
    <m/>
    <m/>
    <m/>
    <m/>
    <m/>
    <m/>
    <s v="{1d635cd6-228e-4cb2-85f4-e40b768a5ce8}"/>
    <d v="2020-07-17T14:57:17"/>
    <s v="clark@ccber.ucsb.edu_ucsb"/>
    <d v="2020-07-17T14:57:17"/>
    <s v="clark@ccber.ucsb.edu_ucsb"/>
  </r>
  <r>
    <n v="60"/>
    <d v="2020-07-17T00:00:00"/>
    <d v="2020-07-17T08:06:26"/>
    <x v="22"/>
    <n v="2"/>
    <x v="0"/>
    <m/>
    <m/>
    <m/>
    <m/>
    <x v="0"/>
    <m/>
    <m/>
    <m/>
    <m/>
    <m/>
    <m/>
    <m/>
    <m/>
    <m/>
    <m/>
    <m/>
    <m/>
    <m/>
    <m/>
    <m/>
    <s v="{d9b95b32-262c-489a-b8d1-d4f6598119ce}"/>
    <d v="2020-07-17T15:06:26"/>
    <s v="clark@ccber.ucsb.edu_ucsb"/>
    <d v="2020-07-17T15:06:26"/>
    <s v="clark@ccber.ucsb.edu_ucsb"/>
  </r>
  <r>
    <n v="65"/>
    <d v="2020-07-17T00:00:00"/>
    <d v="2020-07-17T08:44:20"/>
    <x v="23"/>
    <n v="1"/>
    <x v="0"/>
    <m/>
    <m/>
    <m/>
    <m/>
    <x v="0"/>
    <m/>
    <m/>
    <m/>
    <m/>
    <m/>
    <m/>
    <m/>
    <m/>
    <m/>
    <m/>
    <m/>
    <m/>
    <m/>
    <m/>
    <m/>
    <s v="{755c25dd-a48f-450d-9af8-a0ed51816109}"/>
    <d v="2020-07-17T15:44:20"/>
    <s v="clark@ccber.ucsb.edu_ucsb"/>
    <d v="2020-07-17T15:44:20"/>
    <s v="clark@ccber.ucsb.edu_ucsb"/>
  </r>
  <r>
    <n v="68"/>
    <d v="2020-07-17T00:00:00"/>
    <d v="2020-07-17T06:56:32"/>
    <x v="24"/>
    <n v="1"/>
    <x v="0"/>
    <m/>
    <m/>
    <m/>
    <m/>
    <x v="1"/>
    <m/>
    <m/>
    <m/>
    <m/>
    <m/>
    <m/>
    <m/>
    <m/>
    <m/>
    <m/>
    <m/>
    <m/>
    <m/>
    <m/>
    <m/>
    <s v="{70b9eb47-20dc-42d0-a419-8dc30ac4ee13}"/>
    <d v="2020-07-17T13:56:32"/>
    <s v="ccber_user"/>
    <d v="2020-07-17T13:56:32"/>
    <s v="ccber_user"/>
  </r>
  <r>
    <n v="73"/>
    <d v="2020-07-17T00:00:00"/>
    <d v="2020-07-17T06:59:36"/>
    <x v="24"/>
    <n v="1"/>
    <x v="0"/>
    <m/>
    <m/>
    <m/>
    <m/>
    <x v="1"/>
    <m/>
    <m/>
    <m/>
    <m/>
    <m/>
    <m/>
    <m/>
    <m/>
    <m/>
    <m/>
    <m/>
    <m/>
    <m/>
    <m/>
    <m/>
    <s v="{6586e3ae-ab9d-4ebb-8542-82c5ca65f597}"/>
    <d v="2020-07-17T13:59:36"/>
    <s v="ccber_user"/>
    <d v="2020-07-17T13:59:36"/>
    <s v="ccber_user"/>
  </r>
  <r>
    <n v="102"/>
    <d v="2020-07-17T00:00:00"/>
    <d v="2020-07-17T07:44:28"/>
    <x v="25"/>
    <n v="2"/>
    <x v="0"/>
    <m/>
    <m/>
    <m/>
    <m/>
    <x v="1"/>
    <m/>
    <m/>
    <m/>
    <m/>
    <m/>
    <m/>
    <m/>
    <m/>
    <m/>
    <m/>
    <m/>
    <m/>
    <m/>
    <m/>
    <m/>
    <s v="{351ea159-4814-4059-bd81-e3d6c9015ad1}"/>
    <d v="2020-07-17T14:44:28"/>
    <s v="ccber_user"/>
    <d v="2020-07-17T14:44:28"/>
    <s v="ccber_user"/>
  </r>
  <r>
    <n v="52"/>
    <d v="2020-07-17T00:00:00"/>
    <d v="2020-07-17T07:53:12"/>
    <x v="25"/>
    <n v="6"/>
    <x v="0"/>
    <m/>
    <m/>
    <m/>
    <m/>
    <x v="0"/>
    <m/>
    <m/>
    <m/>
    <m/>
    <m/>
    <m/>
    <m/>
    <m/>
    <m/>
    <m/>
    <m/>
    <m/>
    <m/>
    <m/>
    <m/>
    <s v="{2d9e050f-cd00-40e6-a9de-04ba52b38c59}"/>
    <d v="2020-07-17T14:53:12"/>
    <s v="clark@ccber.ucsb.edu_ucsb"/>
    <d v="2020-07-17T14:53:12"/>
    <s v="clark@ccber.ucsb.edu_ucsb"/>
  </r>
  <r>
    <n v="80"/>
    <d v="2020-07-17T00:00:00"/>
    <d v="2020-07-17T07:12:19"/>
    <x v="26"/>
    <n v="1"/>
    <x v="0"/>
    <m/>
    <m/>
    <m/>
    <m/>
    <x v="1"/>
    <m/>
    <m/>
    <m/>
    <m/>
    <m/>
    <m/>
    <m/>
    <m/>
    <m/>
    <m/>
    <m/>
    <m/>
    <m/>
    <m/>
    <m/>
    <s v="{35c95382-4578-4eeb-8eac-ecc67c50199c}"/>
    <d v="2020-07-17T14:12:19"/>
    <s v="ccber_user"/>
    <d v="2020-07-17T14:12:19"/>
    <s v="ccber_user"/>
  </r>
  <r>
    <n v="145"/>
    <d v="2020-07-17T00:00:00"/>
    <d v="2020-07-17T08:59:55"/>
    <x v="26"/>
    <n v="1"/>
    <x v="0"/>
    <m/>
    <m/>
    <m/>
    <m/>
    <x v="1"/>
    <m/>
    <m/>
    <m/>
    <m/>
    <m/>
    <m/>
    <m/>
    <m/>
    <m/>
    <m/>
    <m/>
    <m/>
    <m/>
    <m/>
    <m/>
    <s v="{cd6ff5f5-7ade-456c-ae50-62552ebe4875}"/>
    <d v="2020-07-17T15:59:55"/>
    <s v="ccber_user"/>
    <d v="2020-07-17T15:59:55"/>
    <s v="ccber_user"/>
  </r>
  <r>
    <n v="43"/>
    <d v="2020-07-17T00:00:00"/>
    <d v="2020-07-17T07:38:24"/>
    <x v="27"/>
    <n v="8"/>
    <x v="0"/>
    <m/>
    <m/>
    <m/>
    <m/>
    <x v="0"/>
    <m/>
    <m/>
    <m/>
    <m/>
    <m/>
    <m/>
    <m/>
    <m/>
    <m/>
    <m/>
    <m/>
    <m/>
    <m/>
    <m/>
    <m/>
    <s v="{701f7244-cd9d-4bd3-a9b1-601921966d14}"/>
    <d v="2020-07-17T14:38:24"/>
    <s v="clark@ccber.ucsb.edu_ucsb"/>
    <d v="2020-07-17T14:38:24"/>
    <s v="clark@ccber.ucsb.edu_ucsb"/>
  </r>
  <r>
    <n v="45"/>
    <d v="2020-07-17T00:00:00"/>
    <d v="2020-07-17T07:39:33"/>
    <x v="27"/>
    <n v="2"/>
    <x v="0"/>
    <m/>
    <m/>
    <m/>
    <m/>
    <x v="0"/>
    <m/>
    <m/>
    <m/>
    <m/>
    <m/>
    <m/>
    <m/>
    <m/>
    <m/>
    <m/>
    <m/>
    <m/>
    <m/>
    <m/>
    <m/>
    <s v="{00884ee3-bcff-4b11-ba24-d7b35913dd8b}"/>
    <d v="2020-07-17T14:39:33"/>
    <s v="clark@ccber.ucsb.edu_ucsb"/>
    <d v="2020-07-17T14:39:33"/>
    <s v="clark@ccber.ucsb.edu_ucsb"/>
  </r>
  <r>
    <n v="109"/>
    <d v="2020-07-17T00:00:00"/>
    <d v="2020-07-17T07:51:43"/>
    <x v="27"/>
    <n v="3"/>
    <x v="1"/>
    <m/>
    <m/>
    <m/>
    <s v="Changed Repeat Observation from No to Yes following survey review."/>
    <x v="1"/>
    <m/>
    <m/>
    <m/>
    <m/>
    <m/>
    <m/>
    <m/>
    <m/>
    <m/>
    <m/>
    <m/>
    <m/>
    <m/>
    <m/>
    <m/>
    <s v="{f3f4429f-85f3-4cb4-a116-0215318a3cb1}"/>
    <d v="2020-07-17T14:51:43"/>
    <s v="ccber_user"/>
    <d v="2020-07-17T14:51:43"/>
    <s v="ccber_user"/>
  </r>
  <r>
    <n v="22"/>
    <d v="2020-07-17T00:00:00"/>
    <d v="2020-07-17T07:14:39"/>
    <x v="28"/>
    <n v="1"/>
    <x v="0"/>
    <m/>
    <m/>
    <m/>
    <m/>
    <x v="0"/>
    <m/>
    <m/>
    <m/>
    <m/>
    <m/>
    <m/>
    <m/>
    <m/>
    <m/>
    <m/>
    <m/>
    <m/>
    <m/>
    <m/>
    <m/>
    <s v="{2293bf41-4bdc-44c5-af1a-e17bceb52ad4}"/>
    <d v="2020-07-17T14:14:39"/>
    <s v="clark@ccber.ucsb.edu_ucsb"/>
    <d v="2020-07-17T14:14:39"/>
    <s v="clark@ccber.ucsb.edu_ucsb"/>
  </r>
  <r>
    <n v="25"/>
    <d v="2020-07-17T00:00:00"/>
    <d v="2020-07-17T07:18:16"/>
    <x v="28"/>
    <n v="4"/>
    <x v="0"/>
    <m/>
    <m/>
    <m/>
    <m/>
    <x v="0"/>
    <m/>
    <m/>
    <m/>
    <m/>
    <m/>
    <m/>
    <m/>
    <m/>
    <m/>
    <m/>
    <m/>
    <m/>
    <m/>
    <m/>
    <m/>
    <s v="{8018e504-32b8-4f51-aae7-420aff28e8e1}"/>
    <d v="2020-07-17T14:18:16"/>
    <s v="clark@ccber.ucsb.edu_ucsb"/>
    <d v="2020-07-17T14:18:16"/>
    <s v="clark@ccber.ucsb.edu_ucsb"/>
  </r>
  <r>
    <n v="31"/>
    <d v="2020-07-17T00:00:00"/>
    <d v="2020-07-17T07:21:53"/>
    <x v="28"/>
    <n v="2"/>
    <x v="0"/>
    <m/>
    <m/>
    <m/>
    <m/>
    <x v="0"/>
    <m/>
    <m/>
    <m/>
    <m/>
    <m/>
    <m/>
    <m/>
    <m/>
    <m/>
    <m/>
    <m/>
    <m/>
    <m/>
    <m/>
    <m/>
    <s v="{159c73f4-29c3-4888-a4d4-eca406715369}"/>
    <d v="2020-07-17T14:21:53"/>
    <s v="clark@ccber.ucsb.edu_ucsb"/>
    <d v="2020-07-17T14:21:53"/>
    <s v="clark@ccber.ucsb.edu_ucsb"/>
  </r>
  <r>
    <n v="133"/>
    <d v="2020-07-17T00:00:00"/>
    <d v="2020-07-17T08:34:25"/>
    <x v="28"/>
    <n v="3"/>
    <x v="1"/>
    <m/>
    <m/>
    <m/>
    <s v="Changed Repeat Observation from No to Yes following survey review."/>
    <x v="1"/>
    <m/>
    <m/>
    <m/>
    <m/>
    <m/>
    <m/>
    <m/>
    <m/>
    <m/>
    <m/>
    <m/>
    <m/>
    <m/>
    <m/>
    <m/>
    <s v="{6858e564-f7fb-497e-8974-2acdbcfbacd5}"/>
    <d v="2020-07-17T15:34:25"/>
    <s v="ccber_user"/>
    <d v="2020-07-17T15:34:25"/>
    <s v="ccber_user"/>
  </r>
  <r>
    <n v="82"/>
    <d v="2020-07-17T00:00:00"/>
    <d v="2020-07-17T07:15:37"/>
    <x v="29"/>
    <n v="1"/>
    <x v="0"/>
    <m/>
    <m/>
    <m/>
    <m/>
    <x v="1"/>
    <m/>
    <m/>
    <m/>
    <m/>
    <m/>
    <m/>
    <m/>
    <m/>
    <m/>
    <m/>
    <m/>
    <m/>
    <m/>
    <m/>
    <m/>
    <s v="{58928a25-0691-4ab4-a25b-68d4b3faf53d}"/>
    <d v="2020-07-17T14:15:37"/>
    <s v="ccber_user"/>
    <d v="2020-07-17T14:15:37"/>
    <s v="ccber_user"/>
  </r>
  <r>
    <n v="115"/>
    <d v="2020-07-17T00:00:00"/>
    <d v="2020-07-17T08:04:21"/>
    <x v="29"/>
    <n v="1"/>
    <x v="0"/>
    <m/>
    <m/>
    <m/>
    <m/>
    <x v="1"/>
    <m/>
    <m/>
    <m/>
    <m/>
    <m/>
    <m/>
    <m/>
    <m/>
    <m/>
    <m/>
    <m/>
    <m/>
    <m/>
    <m/>
    <m/>
    <s v="{57fa121b-fcbb-402c-b5b8-572ed50f115a}"/>
    <d v="2020-07-17T15:04:21"/>
    <s v="ccber_user"/>
    <d v="2020-07-17T15:04:21"/>
    <s v="ccber_user"/>
  </r>
  <r>
    <n v="126"/>
    <d v="2020-07-17T00:00:00"/>
    <d v="2020-07-17T08:19:58"/>
    <x v="29"/>
    <n v="1"/>
    <x v="0"/>
    <m/>
    <m/>
    <m/>
    <m/>
    <x v="1"/>
    <m/>
    <m/>
    <m/>
    <m/>
    <m/>
    <m/>
    <m/>
    <m/>
    <m/>
    <m/>
    <m/>
    <m/>
    <m/>
    <m/>
    <m/>
    <s v="{b90bd57e-ccc3-4a55-b431-e565675da894}"/>
    <d v="2020-07-17T15:19:58"/>
    <s v="ccber_user"/>
    <d v="2020-07-17T15:19:58"/>
    <s v="ccber_user"/>
  </r>
  <r>
    <n v="75"/>
    <d v="2020-07-17T00:00:00"/>
    <d v="2020-07-17T07:02:24"/>
    <x v="30"/>
    <n v="1"/>
    <x v="0"/>
    <m/>
    <m/>
    <m/>
    <m/>
    <x v="1"/>
    <m/>
    <m/>
    <m/>
    <m/>
    <m/>
    <m/>
    <m/>
    <m/>
    <m/>
    <m/>
    <m/>
    <m/>
    <m/>
    <m/>
    <m/>
    <s v="{ec247965-df37-4521-a7e6-e86d6375aa62}"/>
    <d v="2020-07-17T14:02:24"/>
    <s v="ccber_user"/>
    <d v="2020-07-17T14:02:24"/>
    <s v="ccber_user"/>
  </r>
  <r>
    <n v="19"/>
    <d v="2020-07-17T00:00:00"/>
    <d v="2020-07-17T07:11:36"/>
    <x v="30"/>
    <n v="2"/>
    <x v="0"/>
    <m/>
    <m/>
    <m/>
    <m/>
    <x v="0"/>
    <m/>
    <m/>
    <m/>
    <m/>
    <m/>
    <m/>
    <m/>
    <m/>
    <m/>
    <m/>
    <m/>
    <m/>
    <m/>
    <m/>
    <m/>
    <s v="{cedde3fc-487d-4168-8259-77e312b464a0}"/>
    <d v="2020-07-17T14:11:36"/>
    <s v="clark@ccber.ucsb.edu_ucsb"/>
    <d v="2020-07-17T14:13:15"/>
    <s v="clark@ccber.ucsb.edu_ucsb"/>
  </r>
  <r>
    <n v="87"/>
    <d v="2020-07-17T00:00:00"/>
    <d v="2020-07-17T07:18:56"/>
    <x v="30"/>
    <n v="1"/>
    <x v="0"/>
    <m/>
    <m/>
    <m/>
    <m/>
    <x v="1"/>
    <m/>
    <m/>
    <m/>
    <m/>
    <m/>
    <m/>
    <m/>
    <m/>
    <m/>
    <m/>
    <m/>
    <m/>
    <m/>
    <m/>
    <m/>
    <s v="{f74b1fec-7980-454f-89ca-dfb5567f7c43}"/>
    <d v="2020-07-17T14:18:56"/>
    <s v="ccber_user"/>
    <d v="2020-07-17T14:18:56"/>
    <s v="ccber_user"/>
  </r>
  <r>
    <n v="92"/>
    <d v="2020-07-17T00:00:00"/>
    <d v="2020-07-17T07:26:51"/>
    <x v="30"/>
    <n v="2"/>
    <x v="0"/>
    <m/>
    <m/>
    <m/>
    <m/>
    <x v="1"/>
    <m/>
    <m/>
    <m/>
    <m/>
    <m/>
    <m/>
    <m/>
    <m/>
    <m/>
    <m/>
    <m/>
    <m/>
    <m/>
    <m/>
    <m/>
    <s v="{11435a13-6407-4e39-bf42-0c32410160a5}"/>
    <d v="2020-07-17T14:26:51"/>
    <s v="ccber_user"/>
    <d v="2020-07-17T14:26:51"/>
    <s v="ccber_user"/>
  </r>
  <r>
    <n v="131"/>
    <d v="2020-07-17T00:00:00"/>
    <d v="2020-07-17T08:32:28"/>
    <x v="30"/>
    <n v="1"/>
    <x v="0"/>
    <m/>
    <m/>
    <m/>
    <m/>
    <x v="1"/>
    <m/>
    <m/>
    <m/>
    <m/>
    <m/>
    <m/>
    <m/>
    <m/>
    <m/>
    <m/>
    <m/>
    <m/>
    <m/>
    <m/>
    <m/>
    <s v="{77a671ce-744b-49fb-960d-948521f77978}"/>
    <d v="2020-07-17T15:32:28"/>
    <s v="ccber_user"/>
    <d v="2020-07-17T15:32:28"/>
    <s v="ccber_user"/>
  </r>
  <r>
    <n v="91"/>
    <d v="2020-07-17T00:00:00"/>
    <d v="2020-07-17T07:26:31"/>
    <x v="31"/>
    <n v="1"/>
    <x v="0"/>
    <m/>
    <m/>
    <m/>
    <s v="Changed Count from 2 to 1 following survey review."/>
    <x v="1"/>
    <m/>
    <m/>
    <m/>
    <m/>
    <m/>
    <m/>
    <m/>
    <m/>
    <m/>
    <m/>
    <m/>
    <m/>
    <m/>
    <m/>
    <m/>
    <s v="{f82c192c-1e33-45cb-9e2d-a69736d62fd0}"/>
    <d v="2020-07-17T14:26:31"/>
    <s v="ccber_user"/>
    <d v="2020-07-17T14:26:31"/>
    <s v="ccber_user"/>
  </r>
  <r>
    <n v="74"/>
    <d v="2020-07-17T00:00:00"/>
    <d v="2020-07-17T07:00:17"/>
    <x v="32"/>
    <n v="3"/>
    <x v="0"/>
    <m/>
    <m/>
    <m/>
    <s v="one juvenile "/>
    <x v="1"/>
    <m/>
    <m/>
    <m/>
    <m/>
    <m/>
    <m/>
    <m/>
    <m/>
    <m/>
    <m/>
    <m/>
    <m/>
    <m/>
    <m/>
    <m/>
    <s v="{ee55f470-fdb2-44fb-9393-2917ab978dfb}"/>
    <d v="2020-07-17T14:00:17"/>
    <s v="ccber_user"/>
    <d v="2020-07-17T14:00:35"/>
    <s v="ccber_user"/>
  </r>
  <r>
    <n v="83"/>
    <d v="2020-07-17T00:00:00"/>
    <d v="2020-07-17T07:17:17"/>
    <x v="33"/>
    <n v="1"/>
    <x v="0"/>
    <m/>
    <m/>
    <m/>
    <s v="Corrected Repeat Observation from Yes to No following survey review."/>
    <x v="1"/>
    <m/>
    <m/>
    <m/>
    <m/>
    <m/>
    <m/>
    <m/>
    <m/>
    <m/>
    <m/>
    <m/>
    <m/>
    <m/>
    <m/>
    <m/>
    <s v="{22e8f757-6496-4294-b18f-e773ae81e5dd}"/>
    <d v="2020-07-17T14:17:17"/>
    <s v="ccber_user"/>
    <d v="2020-07-17T14:17:17"/>
    <s v="ccber_user"/>
  </r>
  <r>
    <n v="10"/>
    <d v="2020-07-17T00:00:00"/>
    <d v="2020-07-17T07:02:08"/>
    <x v="34"/>
    <n v="1"/>
    <x v="0"/>
    <m/>
    <m/>
    <m/>
    <m/>
    <x v="0"/>
    <m/>
    <m/>
    <m/>
    <m/>
    <m/>
    <m/>
    <m/>
    <m/>
    <m/>
    <m/>
    <m/>
    <m/>
    <m/>
    <m/>
    <m/>
    <s v="{eadc0287-d64f-49a8-8be5-80e72331dbb0}"/>
    <d v="2020-07-17T14:02:08"/>
    <s v="clark@ccber.ucsb.edu_ucsb"/>
    <d v="2020-07-17T14:02:08"/>
    <s v="clark@ccber.ucsb.edu_ucsb"/>
  </r>
  <r>
    <n v="54"/>
    <d v="2020-07-17T00:00:00"/>
    <d v="2020-07-17T07:53:41"/>
    <x v="35"/>
    <n v="1"/>
    <x v="0"/>
    <m/>
    <m/>
    <m/>
    <m/>
    <x v="0"/>
    <m/>
    <m/>
    <m/>
    <m/>
    <m/>
    <m/>
    <m/>
    <m/>
    <m/>
    <m/>
    <m/>
    <m/>
    <m/>
    <m/>
    <m/>
    <s v="{b4c6d1b1-7094-4b4f-a706-bee428a4e315}"/>
    <d v="2020-07-17T14:53:41"/>
    <s v="clark@ccber.ucsb.edu_ucsb"/>
    <d v="2020-07-17T14:53:41"/>
    <s v="clark@ccber.ucsb.edu_ucsb"/>
  </r>
  <r>
    <n v="14"/>
    <d v="2020-07-17T00:00:00"/>
    <d v="2020-07-17T07:07:24"/>
    <x v="36"/>
    <n v="2"/>
    <x v="0"/>
    <m/>
    <m/>
    <m/>
    <m/>
    <x v="0"/>
    <m/>
    <m/>
    <m/>
    <m/>
    <m/>
    <m/>
    <m/>
    <m/>
    <m/>
    <m/>
    <m/>
    <m/>
    <m/>
    <m/>
    <m/>
    <s v="{4621dcc7-1fd7-4dc2-9f3c-a0625147678e}"/>
    <d v="2020-07-17T14:07:24"/>
    <s v="clark@ccber.ucsb.edu_ucsb"/>
    <d v="2020-07-17T14:07:24"/>
    <s v="clark@ccber.ucsb.edu_ucsb"/>
  </r>
  <r>
    <n v="29"/>
    <d v="2020-07-17T00:00:00"/>
    <d v="2020-07-17T07:20:34"/>
    <x v="37"/>
    <n v="1"/>
    <x v="0"/>
    <m/>
    <m/>
    <m/>
    <m/>
    <x v="0"/>
    <m/>
    <m/>
    <m/>
    <m/>
    <m/>
    <m/>
    <m/>
    <m/>
    <m/>
    <m/>
    <m/>
    <m/>
    <m/>
    <m/>
    <m/>
    <s v="{51e0a9e4-c043-41f0-81cd-e17a29253b48}"/>
    <d v="2020-07-17T14:20:34"/>
    <s v="clark@ccber.ucsb.edu_ucsb"/>
    <d v="2020-07-17T14:20:34"/>
    <s v="clark@ccber.ucsb.edu_ucsb"/>
  </r>
  <r>
    <n v="112"/>
    <d v="2020-07-17T00:00:00"/>
    <d v="2020-07-17T07:59:59"/>
    <x v="37"/>
    <n v="1"/>
    <x v="0"/>
    <m/>
    <m/>
    <m/>
    <m/>
    <x v="1"/>
    <m/>
    <m/>
    <m/>
    <m/>
    <m/>
    <m/>
    <m/>
    <m/>
    <m/>
    <m/>
    <m/>
    <m/>
    <m/>
    <m/>
    <m/>
    <s v="{33177fe2-6825-4bff-acbf-74f53034a517}"/>
    <d v="2020-07-17T14:59:59"/>
    <s v="ccber_user"/>
    <d v="2020-07-17T15:01:50"/>
    <s v="ccber_user"/>
  </r>
  <r>
    <n v="101"/>
    <d v="2020-07-17T00:00:00"/>
    <d v="2020-07-17T07:44:16"/>
    <x v="38"/>
    <n v="4"/>
    <x v="0"/>
    <m/>
    <m/>
    <m/>
    <m/>
    <x v="1"/>
    <m/>
    <m/>
    <m/>
    <m/>
    <m/>
    <m/>
    <m/>
    <m/>
    <m/>
    <m/>
    <m/>
    <m/>
    <m/>
    <m/>
    <m/>
    <s v="{b86845b8-7637-4857-a8ff-aebc415f4b6a}"/>
    <d v="2020-07-17T14:44:16"/>
    <s v="ccber_user"/>
    <d v="2020-07-17T14:51:49"/>
    <s v="ccber_user"/>
  </r>
  <r>
    <n v="51"/>
    <d v="2020-07-17T00:00:00"/>
    <d v="2020-07-17T07:50:12"/>
    <x v="38"/>
    <n v="16"/>
    <x v="0"/>
    <m/>
    <m/>
    <m/>
    <m/>
    <x v="0"/>
    <m/>
    <m/>
    <m/>
    <m/>
    <m/>
    <m/>
    <m/>
    <m/>
    <m/>
    <m/>
    <m/>
    <m/>
    <m/>
    <m/>
    <m/>
    <s v="{a0ba8648-28e3-4265-9a94-9ac8f13c6840}"/>
    <d v="2020-07-17T14:50:12"/>
    <s v="clark@ccber.ucsb.edu_ucsb"/>
    <d v="2020-07-17T14:50:12"/>
    <s v="clark@ccber.ucsb.edu_ucsb"/>
  </r>
  <r>
    <n v="72"/>
    <d v="2020-07-17T00:00:00"/>
    <d v="2020-07-17T06:59:27"/>
    <x v="39"/>
    <n v="1"/>
    <x v="0"/>
    <m/>
    <m/>
    <m/>
    <m/>
    <x v="1"/>
    <m/>
    <m/>
    <m/>
    <m/>
    <m/>
    <m/>
    <m/>
    <m/>
    <m/>
    <m/>
    <m/>
    <m/>
    <m/>
    <m/>
    <m/>
    <s v="{cc81fcb8-91fa-4c62-85b9-51b17ae2f41c}"/>
    <d v="2020-07-17T13:59:27"/>
    <s v="ccber_user"/>
    <d v="2020-07-17T13:59:27"/>
    <s v="ccber_user"/>
  </r>
  <r>
    <n v="118"/>
    <d v="2020-07-17T00:00:00"/>
    <d v="2020-07-17T08:06:13"/>
    <x v="39"/>
    <n v="2"/>
    <x v="0"/>
    <s v="Air"/>
    <m/>
    <m/>
    <m/>
    <x v="1"/>
    <m/>
    <m/>
    <m/>
    <m/>
    <m/>
    <m/>
    <m/>
    <m/>
    <m/>
    <m/>
    <m/>
    <m/>
    <m/>
    <m/>
    <m/>
    <s v="{e9606b90-fae3-46d5-9df0-61b5fa429e5f}"/>
    <d v="2020-07-17T15:06:13"/>
    <s v="ccber_user"/>
    <d v="2020-07-17T15:06:13"/>
    <s v="ccber_user"/>
  </r>
  <r>
    <n v="139"/>
    <d v="2020-07-17T00:00:00"/>
    <d v="2020-07-17T08:37:56"/>
    <x v="39"/>
    <n v="1"/>
    <x v="0"/>
    <m/>
    <m/>
    <m/>
    <m/>
    <x v="1"/>
    <m/>
    <m/>
    <m/>
    <m/>
    <m/>
    <m/>
    <m/>
    <m/>
    <m/>
    <m/>
    <m/>
    <m/>
    <m/>
    <m/>
    <m/>
    <s v="{a6808bc7-f00e-40e8-8cf1-2ce54c398503}"/>
    <d v="2020-07-17T15:37:56"/>
    <s v="ccber_user"/>
    <d v="2020-07-17T15:37:56"/>
    <s v="ccber_user"/>
  </r>
  <r>
    <n v="2"/>
    <d v="2020-07-17T00:00:00"/>
    <d v="2020-07-17T06:56:58"/>
    <x v="40"/>
    <n v="1"/>
    <x v="0"/>
    <m/>
    <m/>
    <m/>
    <m/>
    <x v="0"/>
    <m/>
    <m/>
    <m/>
    <m/>
    <m/>
    <m/>
    <m/>
    <m/>
    <m/>
    <m/>
    <m/>
    <m/>
    <m/>
    <m/>
    <m/>
    <s v="{95d368cf-aba7-49b7-a8e0-25d8d7560b51}"/>
    <d v="2020-07-17T13:56:58"/>
    <s v="clark@ccber.ucsb.edu_ucsb"/>
    <d v="2020-07-17T13:56:58"/>
    <s v="clark@ccber.ucsb.edu_ucsb"/>
  </r>
  <r>
    <n v="3"/>
    <d v="2020-07-17T00:00:00"/>
    <d v="2020-07-17T06:57:29"/>
    <x v="40"/>
    <n v="1"/>
    <x v="0"/>
    <m/>
    <m/>
    <m/>
    <m/>
    <x v="0"/>
    <m/>
    <m/>
    <m/>
    <m/>
    <m/>
    <m/>
    <m/>
    <m/>
    <m/>
    <m/>
    <m/>
    <m/>
    <m/>
    <m/>
    <m/>
    <s v="{b14cb9d0-e3d7-4b00-8381-187ca7c6499d}"/>
    <d v="2020-07-17T13:57:29"/>
    <s v="clark@ccber.ucsb.edu_ucsb"/>
    <d v="2020-07-17T13:57:29"/>
    <s v="clark@ccber.ucsb.edu_ucsb"/>
  </r>
  <r>
    <n v="7"/>
    <d v="2020-07-17T00:00:00"/>
    <d v="2020-07-17T07:01:12"/>
    <x v="40"/>
    <n v="1"/>
    <x v="0"/>
    <m/>
    <m/>
    <m/>
    <s v="Count not recorded in the field. Assumed to be 1."/>
    <x v="0"/>
    <m/>
    <m/>
    <m/>
    <m/>
    <m/>
    <m/>
    <m/>
    <m/>
    <m/>
    <m/>
    <m/>
    <m/>
    <m/>
    <m/>
    <m/>
    <s v="{bf40520e-a321-4267-b19a-7e8b3a0b1f86}"/>
    <d v="2020-07-17T14:01:12"/>
    <s v="clark@ccber.ucsb.edu_ucsb"/>
    <d v="2020-07-17T14:01:12"/>
    <s v="clark@ccber.ucsb.edu_ucsb"/>
  </r>
  <r>
    <n v="40"/>
    <d v="2020-07-17T00:00:00"/>
    <d v="2020-07-17T07:33:26"/>
    <x v="40"/>
    <n v="2"/>
    <x v="0"/>
    <m/>
    <m/>
    <m/>
    <m/>
    <x v="0"/>
    <m/>
    <m/>
    <m/>
    <m/>
    <m/>
    <m/>
    <m/>
    <m/>
    <m/>
    <m/>
    <m/>
    <m/>
    <m/>
    <m/>
    <m/>
    <s v="{518f330a-e29b-46f7-89da-d27cf70ed000}"/>
    <d v="2020-07-17T14:33:26"/>
    <s v="clark@ccber.ucsb.edu_ucsb"/>
    <d v="2020-07-17T14:33:26"/>
    <s v="clark@ccber.ucsb.edu_ucsb"/>
  </r>
  <r>
    <n v="42"/>
    <d v="2020-07-17T00:00:00"/>
    <d v="2020-07-17T07:35:14"/>
    <x v="40"/>
    <n v="1"/>
    <x v="0"/>
    <m/>
    <m/>
    <m/>
    <m/>
    <x v="0"/>
    <m/>
    <m/>
    <m/>
    <m/>
    <m/>
    <m/>
    <m/>
    <m/>
    <m/>
    <m/>
    <m/>
    <m/>
    <m/>
    <m/>
    <m/>
    <s v="{87f34806-9593-43a2-a249-50504f738efa}"/>
    <d v="2020-07-17T14:35:14"/>
    <s v="clark@ccber.ucsb.edu_ucsb"/>
    <d v="2020-07-17T14:35:14"/>
    <s v="clark@ccber.ucsb.edu_ucsb"/>
  </r>
  <r>
    <n v="47"/>
    <d v="2020-07-17T00:00:00"/>
    <d v="2020-07-17T07:40:40"/>
    <x v="40"/>
    <n v="2"/>
    <x v="0"/>
    <m/>
    <m/>
    <m/>
    <m/>
    <x v="0"/>
    <m/>
    <m/>
    <m/>
    <m/>
    <m/>
    <m/>
    <m/>
    <m/>
    <m/>
    <m/>
    <m/>
    <m/>
    <m/>
    <m/>
    <m/>
    <s v="{48f9f704-f2ba-4e8a-b34c-b49ec9764ea2}"/>
    <d v="2020-07-17T14:40:40"/>
    <s v="clark@ccber.ucsb.edu_ucsb"/>
    <d v="2020-07-17T14:40:40"/>
    <s v="clark@ccber.ucsb.edu_ucsb"/>
  </r>
  <r>
    <n v="116"/>
    <d v="2020-07-17T00:00:00"/>
    <d v="2020-07-17T08:04:34"/>
    <x v="40"/>
    <n v="3"/>
    <x v="0"/>
    <m/>
    <m/>
    <m/>
    <m/>
    <x v="1"/>
    <m/>
    <m/>
    <m/>
    <m/>
    <m/>
    <m/>
    <m/>
    <m/>
    <m/>
    <m/>
    <m/>
    <m/>
    <m/>
    <m/>
    <m/>
    <s v="{a55868c3-861c-4ac5-a355-c6b23d84fd0e}"/>
    <d v="2020-07-17T15:04:34"/>
    <s v="ccber_user"/>
    <d v="2020-07-17T15:04:34"/>
    <s v="ccber_user"/>
  </r>
  <r>
    <n v="144"/>
    <d v="2020-07-17T00:00:00"/>
    <d v="2020-07-17T08:51:51"/>
    <x v="40"/>
    <n v="1"/>
    <x v="0"/>
    <m/>
    <m/>
    <m/>
    <m/>
    <x v="1"/>
    <m/>
    <m/>
    <m/>
    <m/>
    <m/>
    <m/>
    <m/>
    <m/>
    <m/>
    <m/>
    <m/>
    <m/>
    <m/>
    <m/>
    <m/>
    <s v="{4560714f-4685-455e-887a-feba740d16f5}"/>
    <d v="2020-07-17T15:51:51"/>
    <s v="ccber_user"/>
    <d v="2020-07-17T15:51:51"/>
    <s v="ccber_user"/>
  </r>
  <r>
    <n v="146"/>
    <d v="2020-07-17T00:00:00"/>
    <d v="2020-07-17T09:08:09"/>
    <x v="40"/>
    <n v="1"/>
    <x v="0"/>
    <m/>
    <m/>
    <m/>
    <m/>
    <x v="1"/>
    <m/>
    <s v="9:08"/>
    <m/>
    <m/>
    <m/>
    <m/>
    <m/>
    <m/>
    <m/>
    <m/>
    <m/>
    <m/>
    <m/>
    <m/>
    <m/>
    <s v="{5e75b261-d37b-4d76-bbf0-1308f0ee0a12}"/>
    <d v="2020-07-17T16:08:09"/>
    <s v="ccber_user"/>
    <d v="2020-07-17T16:08:09"/>
    <s v="ccber_user"/>
  </r>
  <r>
    <n v="77"/>
    <d v="2020-07-17T00:00:00"/>
    <d v="2020-07-17T07:08:02"/>
    <x v="41"/>
    <n v="5"/>
    <x v="0"/>
    <m/>
    <m/>
    <m/>
    <m/>
    <x v="1"/>
    <m/>
    <m/>
    <m/>
    <m/>
    <m/>
    <m/>
    <m/>
    <m/>
    <m/>
    <m/>
    <m/>
    <m/>
    <m/>
    <m/>
    <m/>
    <s v="{89d8f9d3-9eb7-4571-b230-d66c5c077d17}"/>
    <d v="2020-07-17T14:08:02"/>
    <s v="ccber_user"/>
    <d v="2020-07-17T14:08:02"/>
    <s v="ccber_user"/>
  </r>
  <r>
    <n v="35"/>
    <d v="2020-07-17T00:00:00"/>
    <d v="2020-07-17T07:25:00"/>
    <x v="42"/>
    <n v="1"/>
    <x v="0"/>
    <m/>
    <m/>
    <m/>
    <m/>
    <x v="0"/>
    <m/>
    <m/>
    <m/>
    <m/>
    <m/>
    <m/>
    <m/>
    <m/>
    <m/>
    <m/>
    <m/>
    <m/>
    <m/>
    <m/>
    <m/>
    <s v="{f87bac9f-1e82-471b-877d-54860dff8985}"/>
    <d v="2020-07-17T14:25:00"/>
    <s v="clark@ccber.ucsb.edu_ucsb"/>
    <d v="2020-07-17T14:25:00"/>
    <s v="clark@ccber.ucsb.edu_ucsb"/>
  </r>
  <r>
    <n v="37"/>
    <d v="2020-07-17T00:00:00"/>
    <d v="2020-07-17T07:26:37"/>
    <x v="42"/>
    <n v="12"/>
    <x v="0"/>
    <m/>
    <m/>
    <m/>
    <m/>
    <x v="0"/>
    <m/>
    <m/>
    <m/>
    <m/>
    <m/>
    <m/>
    <m/>
    <m/>
    <m/>
    <m/>
    <m/>
    <m/>
    <m/>
    <m/>
    <m/>
    <s v="{ce53c212-6f8a-48ff-a9a9-fd6a17bad093}"/>
    <d v="2020-07-17T14:26:37"/>
    <s v="clark@ccber.ucsb.edu_ucsb"/>
    <d v="2020-07-17T14:26:37"/>
    <s v="clark@ccber.ucsb.edu_ucsb"/>
  </r>
  <r>
    <n v="53"/>
    <d v="2020-07-17T00:00:00"/>
    <d v="2020-07-17T07:53:30"/>
    <x v="43"/>
    <n v="6"/>
    <x v="0"/>
    <m/>
    <m/>
    <m/>
    <m/>
    <x v="0"/>
    <m/>
    <m/>
    <m/>
    <m/>
    <m/>
    <m/>
    <m/>
    <m/>
    <m/>
    <m/>
    <m/>
    <m/>
    <m/>
    <m/>
    <m/>
    <s v="{c02f8438-2299-4e75-940d-6a993af0dd5a}"/>
    <d v="2020-07-17T14:53:30"/>
    <s v="clark@ccber.ucsb.edu_ucsb"/>
    <d v="2020-07-17T14:53:30"/>
    <s v="clark@ccber.ucsb.edu_ucsb"/>
  </r>
  <r>
    <n v="55"/>
    <d v="2020-07-17T00:00:00"/>
    <d v="2020-07-17T07:53:54"/>
    <x v="44"/>
    <n v="1"/>
    <x v="0"/>
    <m/>
    <m/>
    <m/>
    <m/>
    <x v="0"/>
    <m/>
    <m/>
    <m/>
    <m/>
    <m/>
    <m/>
    <m/>
    <m/>
    <m/>
    <m/>
    <m/>
    <m/>
    <m/>
    <m/>
    <m/>
    <s v="{c30268df-b264-4757-a37d-b69f3849f72a}"/>
    <d v="2020-07-17T14:53:54"/>
    <s v="clark@ccber.ucsb.edu_ucsb"/>
    <d v="2020-07-17T14:53:54"/>
    <s v="clark@ccber.ucsb.edu_ucsb"/>
  </r>
  <r>
    <n v="106"/>
    <d v="2020-07-17T00:00:00"/>
    <d v="2020-07-17T07:49:53"/>
    <x v="45"/>
    <n v="10"/>
    <x v="0"/>
    <m/>
    <m/>
    <m/>
    <s v="western/least sandpiper"/>
    <x v="1"/>
    <m/>
    <m/>
    <m/>
    <m/>
    <m/>
    <m/>
    <m/>
    <m/>
    <m/>
    <m/>
    <m/>
    <m/>
    <m/>
    <m/>
    <m/>
    <s v="{557aab3e-9058-4ed7-ba0e-07f2670b450b}"/>
    <d v="2020-07-17T14:49:53"/>
    <s v="ccber_user"/>
    <d v="2020-07-17T14:49:53"/>
    <s v="ccber_user"/>
  </r>
  <r>
    <n v="36"/>
    <d v="2020-07-17T00:00:00"/>
    <d v="2020-07-17T07:25:14"/>
    <x v="46"/>
    <n v="1"/>
    <x v="0"/>
    <m/>
    <m/>
    <m/>
    <m/>
    <x v="0"/>
    <m/>
    <m/>
    <m/>
    <m/>
    <m/>
    <m/>
    <m/>
    <m/>
    <m/>
    <m/>
    <m/>
    <m/>
    <m/>
    <m/>
    <m/>
    <s v="{9f6bbb6c-f043-4165-8532-088b6a7b5584}"/>
    <d v="2020-07-17T14:25:14"/>
    <s v="clark@ccber.ucsb.edu_ucsb"/>
    <d v="2020-07-17T14:25:14"/>
    <s v="clark@ccber.ucsb.edu_ucsb"/>
  </r>
  <r>
    <n v="44"/>
    <d v="2020-07-17T00:00:00"/>
    <d v="2020-07-17T07:38:34"/>
    <x v="46"/>
    <n v="2"/>
    <x v="0"/>
    <m/>
    <m/>
    <m/>
    <m/>
    <x v="0"/>
    <m/>
    <m/>
    <m/>
    <m/>
    <m/>
    <m/>
    <m/>
    <m/>
    <m/>
    <m/>
    <m/>
    <m/>
    <m/>
    <m/>
    <m/>
    <s v="{04956389-58f6-4837-afe1-8babdcbe2203}"/>
    <d v="2020-07-17T14:38:34"/>
    <s v="clark@ccber.ucsb.edu_ucsb"/>
    <d v="2020-07-17T14:38:34"/>
    <s v="clark@ccber.ucsb.edu_ucsb"/>
  </r>
  <r>
    <n v="46"/>
    <d v="2020-07-17T00:00:00"/>
    <d v="2020-07-17T07:39:43"/>
    <x v="46"/>
    <n v="2"/>
    <x v="0"/>
    <m/>
    <m/>
    <m/>
    <m/>
    <x v="0"/>
    <m/>
    <m/>
    <m/>
    <m/>
    <m/>
    <m/>
    <m/>
    <m/>
    <m/>
    <m/>
    <m/>
    <m/>
    <m/>
    <m/>
    <m/>
    <s v="{29312249-7ce9-46d5-a626-7e19a4431097}"/>
    <d v="2020-07-17T14:39:43"/>
    <s v="clark@ccber.ucsb.edu_ucsb"/>
    <d v="2020-07-17T14:39:43"/>
    <s v="clark@ccber.ucsb.edu_ucsb"/>
  </r>
  <r>
    <n v="108"/>
    <d v="2020-07-17T00:00:00"/>
    <d v="2020-07-17T07:51:15"/>
    <x v="46"/>
    <n v="3"/>
    <x v="1"/>
    <m/>
    <m/>
    <m/>
    <s v="Changed Repeat Observation from No to Yes following survey review."/>
    <x v="1"/>
    <m/>
    <m/>
    <m/>
    <m/>
    <m/>
    <m/>
    <m/>
    <m/>
    <m/>
    <m/>
    <m/>
    <m/>
    <m/>
    <m/>
    <m/>
    <s v="{57f67816-4ff2-4dba-87fe-b1be15bbdd8b}"/>
    <d v="2020-07-17T14:51:15"/>
    <s v="ccber_user"/>
    <d v="2020-07-17T14:51:32"/>
    <s v="ccber_user"/>
  </r>
  <r>
    <n v="76"/>
    <d v="2020-07-17T00:00:00"/>
    <d v="2020-07-17T07:03:32"/>
    <x v="47"/>
    <n v="2"/>
    <x v="0"/>
    <m/>
    <m/>
    <m/>
    <s v="Species identity questioned in survey review - excluded from final count."/>
    <x v="1"/>
    <m/>
    <m/>
    <m/>
    <m/>
    <m/>
    <m/>
    <m/>
    <m/>
    <m/>
    <m/>
    <m/>
    <m/>
    <m/>
    <m/>
    <m/>
    <s v="{dc4a1b4b-2f02-4c5b-93f9-267b7d3b8366}"/>
    <d v="2020-07-17T14:03:32"/>
    <s v="ccber_user"/>
    <d v="2020-07-17T14:03:32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1F0E3-0053-4B99-8505-C600E18002A6}" name="PivotTable1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54" firstHeaderRow="1" firstDataRow="3" firstDataCol="1"/>
  <pivotFields count="31">
    <pivotField showAll="0"/>
    <pivotField numFmtId="14" showAll="0"/>
    <pivotField numFmtId="165" showAll="0"/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2">
    <field x="5"/>
    <field x="10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12">
    <format dxfId="11">
      <pivotArea outline="0" collapsedLevelsAreSubtotals="1" fieldPosition="0"/>
    </format>
    <format dxfId="10">
      <pivotArea field="5" type="button" dataOnly="0" labelOnly="1" outline="0" axis="axisCol" fieldPosition="0"/>
    </format>
    <format dxfId="9">
      <pivotArea field="10" type="button" dataOnly="0" labelOnly="1" outline="0" axis="axisCol" fieldPosition="1"/>
    </format>
    <format dxfId="8">
      <pivotArea type="topRight" dataOnly="0" labelOnly="1" outline="0" fieldPosition="0"/>
    </format>
    <format dxfId="7">
      <pivotArea dataOnly="0" labelOnly="1" fieldPosition="0">
        <references count="1">
          <reference field="5" count="0"/>
        </references>
      </pivotArea>
    </format>
    <format dxfId="6">
      <pivotArea dataOnly="0" labelOnly="1" fieldPosition="0">
        <references count="1">
          <reference field="5" count="0" defaultSubtotal="1"/>
        </references>
      </pivotArea>
    </format>
    <format dxfId="5">
      <pivotArea dataOnly="0" labelOnly="1" fieldPosition="0">
        <references count="2">
          <reference field="5" count="1" selected="0">
            <x v="0"/>
          </reference>
          <reference field="10" count="0"/>
        </references>
      </pivotArea>
    </format>
    <format dxfId="4">
      <pivotArea dataOnly="0" labelOnly="1" fieldPosition="0">
        <references count="2">
          <reference field="5" count="1" selected="0">
            <x v="1"/>
          </reference>
          <reference field="10" count="0"/>
        </references>
      </pivotArea>
    </format>
    <format dxfId="3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2">
      <pivotArea type="topRight" dataOnly="0" labelOnly="1" outline="0" offset="A1" fieldPosition="0"/>
    </format>
    <format dxfId="1">
      <pivotArea dataOnly="0" labelOnly="1" fieldPosition="0">
        <references count="1">
          <reference field="5" count="1" defaultSubtotal="1">
            <x v="0"/>
          </reference>
        </references>
      </pivotArea>
    </format>
    <format dxfId="0">
      <pivotArea collapsedLevelsAreSubtotals="1" fieldPosition="0">
        <references count="2">
          <reference field="3" count="0"/>
          <reference field="5" count="1" selected="0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7"/>
  <sheetViews>
    <sheetView workbookViewId="0">
      <pane xSplit="5" ySplit="1" topLeftCell="F17" activePane="bottomRight" state="frozen"/>
      <selection pane="topRight" activeCell="F1" sqref="F1"/>
      <selection pane="bottomLeft" activeCell="A2" sqref="A2"/>
      <selection pane="bottomRight" activeCell="F30" sqref="F30"/>
    </sheetView>
  </sheetViews>
  <sheetFormatPr defaultColWidth="8.85546875" defaultRowHeight="15" x14ac:dyDescent="0.25"/>
  <cols>
    <col min="1" max="1" width="10" style="7" bestFit="1" customWidth="1"/>
    <col min="2" max="2" width="12" style="5" customWidth="1"/>
    <col min="3" max="3" width="8.28515625" style="5" customWidth="1"/>
    <col min="4" max="4" width="25" bestFit="1" customWidth="1"/>
    <col min="5" max="5" width="9.140625" style="5"/>
    <col min="6" max="6" width="20.7109375" style="5" bestFit="1" customWidth="1"/>
    <col min="7" max="7" width="10.42578125" bestFit="1" customWidth="1"/>
    <col min="9" max="9" width="18.140625" bestFit="1" customWidth="1"/>
    <col min="10" max="10" width="23.140625" bestFit="1" customWidth="1"/>
    <col min="11" max="11" width="20.140625" bestFit="1" customWidth="1"/>
    <col min="28" max="28" width="18.28515625" bestFit="1" customWidth="1"/>
  </cols>
  <sheetData>
    <row r="1" spans="1:31" ht="16.5" thickBot="1" x14ac:dyDescent="0.3">
      <c r="A1" s="1" t="s">
        <v>0</v>
      </c>
      <c r="B1" s="3" t="s">
        <v>233</v>
      </c>
      <c r="C1" s="3" t="s">
        <v>234</v>
      </c>
      <c r="D1" s="1" t="s">
        <v>1</v>
      </c>
      <c r="E1" s="3" t="s">
        <v>2</v>
      </c>
      <c r="F1" s="3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25">
      <c r="A2" s="7">
        <v>28</v>
      </c>
      <c r="B2" s="6">
        <v>44029</v>
      </c>
      <c r="C2" s="4">
        <f t="shared" ref="C2:C33" si="0">AB2-(7/24)</f>
        <v>44029.305821759262</v>
      </c>
      <c r="D2" t="s">
        <v>75</v>
      </c>
      <c r="E2" s="5">
        <v>1</v>
      </c>
      <c r="F2" s="5" t="s">
        <v>30</v>
      </c>
      <c r="K2" t="s">
        <v>236</v>
      </c>
      <c r="AA2" t="s">
        <v>76</v>
      </c>
      <c r="AB2" s="2">
        <v>44029.597488425927</v>
      </c>
      <c r="AC2" t="s">
        <v>32</v>
      </c>
      <c r="AD2" s="2">
        <v>44029.597488425927</v>
      </c>
      <c r="AE2" t="s">
        <v>32</v>
      </c>
    </row>
    <row r="3" spans="1:31" x14ac:dyDescent="0.25">
      <c r="A3" s="7">
        <v>85</v>
      </c>
      <c r="B3" s="6">
        <v>44029</v>
      </c>
      <c r="C3" s="4">
        <f t="shared" si="0"/>
        <v>44029.304432870384</v>
      </c>
      <c r="D3" t="s">
        <v>125</v>
      </c>
      <c r="E3" s="5">
        <v>1</v>
      </c>
      <c r="F3" s="5" t="s">
        <v>30</v>
      </c>
      <c r="G3" t="s">
        <v>160</v>
      </c>
      <c r="K3" t="s">
        <v>237</v>
      </c>
      <c r="AA3" t="s">
        <v>161</v>
      </c>
      <c r="AB3" s="2">
        <v>44029.596099537048</v>
      </c>
      <c r="AC3" t="s">
        <v>133</v>
      </c>
      <c r="AD3" s="2">
        <v>44029.596099537048</v>
      </c>
      <c r="AE3" t="s">
        <v>133</v>
      </c>
    </row>
    <row r="4" spans="1:31" x14ac:dyDescent="0.25">
      <c r="A4" s="7">
        <v>125</v>
      </c>
      <c r="B4" s="6">
        <v>44029</v>
      </c>
      <c r="C4" s="4">
        <f t="shared" si="0"/>
        <v>44029.346527777772</v>
      </c>
      <c r="D4" t="s">
        <v>125</v>
      </c>
      <c r="E4" s="5">
        <v>1</v>
      </c>
      <c r="F4" s="5" t="s">
        <v>30</v>
      </c>
      <c r="G4" t="s">
        <v>160</v>
      </c>
      <c r="K4" t="s">
        <v>237</v>
      </c>
      <c r="AA4" t="s">
        <v>208</v>
      </c>
      <c r="AB4" s="2">
        <v>44029.638194444437</v>
      </c>
      <c r="AC4" t="s">
        <v>133</v>
      </c>
      <c r="AD4" s="2">
        <v>44029.638194444437</v>
      </c>
      <c r="AE4" t="s">
        <v>133</v>
      </c>
    </row>
    <row r="5" spans="1:31" x14ac:dyDescent="0.25">
      <c r="A5" s="7">
        <v>128</v>
      </c>
      <c r="B5" s="6">
        <v>44029</v>
      </c>
      <c r="C5" s="4">
        <f t="shared" si="0"/>
        <v>44029.348634259259</v>
      </c>
      <c r="D5" t="s">
        <v>125</v>
      </c>
      <c r="E5" s="5">
        <v>1</v>
      </c>
      <c r="F5" s="5" t="s">
        <v>30</v>
      </c>
      <c r="I5" t="s">
        <v>167</v>
      </c>
      <c r="K5" t="s">
        <v>237</v>
      </c>
      <c r="AA5" t="s">
        <v>211</v>
      </c>
      <c r="AB5" s="2">
        <v>44029.640300925923</v>
      </c>
      <c r="AC5" t="s">
        <v>133</v>
      </c>
      <c r="AD5" s="2">
        <v>44029.640300925923</v>
      </c>
      <c r="AE5" t="s">
        <v>133</v>
      </c>
    </row>
    <row r="6" spans="1:31" x14ac:dyDescent="0.25">
      <c r="A6" s="7">
        <v>63</v>
      </c>
      <c r="B6" s="6">
        <v>44029</v>
      </c>
      <c r="C6" s="4">
        <f t="shared" si="0"/>
        <v>44029.349039351859</v>
      </c>
      <c r="D6" t="s">
        <v>125</v>
      </c>
      <c r="E6" s="5">
        <v>1</v>
      </c>
      <c r="F6" s="5" t="s">
        <v>30</v>
      </c>
      <c r="K6" t="s">
        <v>236</v>
      </c>
      <c r="AA6" t="s">
        <v>126</v>
      </c>
      <c r="AB6" s="2">
        <v>44029.640706018523</v>
      </c>
      <c r="AC6" t="s">
        <v>32</v>
      </c>
      <c r="AD6" s="2">
        <v>44029.640706018523</v>
      </c>
      <c r="AE6" t="s">
        <v>32</v>
      </c>
    </row>
    <row r="7" spans="1:31" x14ac:dyDescent="0.25">
      <c r="A7" s="7">
        <v>86</v>
      </c>
      <c r="B7" s="6">
        <v>44029</v>
      </c>
      <c r="C7" s="4">
        <f t="shared" si="0"/>
        <v>44029.304710648168</v>
      </c>
      <c r="D7" t="s">
        <v>162</v>
      </c>
      <c r="E7" s="5">
        <v>1</v>
      </c>
      <c r="F7" s="5" t="s">
        <v>30</v>
      </c>
      <c r="K7" t="s">
        <v>237</v>
      </c>
      <c r="AA7" t="s">
        <v>163</v>
      </c>
      <c r="AB7" s="2">
        <v>44029.596377314832</v>
      </c>
      <c r="AC7" t="s">
        <v>133</v>
      </c>
      <c r="AD7" s="2">
        <v>44029.596377314832</v>
      </c>
      <c r="AE7" t="s">
        <v>133</v>
      </c>
    </row>
    <row r="8" spans="1:31" x14ac:dyDescent="0.25">
      <c r="A8" s="7">
        <v>97</v>
      </c>
      <c r="B8" s="6">
        <v>44029</v>
      </c>
      <c r="C8" s="4">
        <f t="shared" si="0"/>
        <v>44029.314814814818</v>
      </c>
      <c r="D8" t="s">
        <v>162</v>
      </c>
      <c r="E8" s="5">
        <v>1</v>
      </c>
      <c r="F8" s="5" t="s">
        <v>30</v>
      </c>
      <c r="J8" t="s">
        <v>177</v>
      </c>
      <c r="K8" t="s">
        <v>237</v>
      </c>
      <c r="AA8" t="s">
        <v>178</v>
      </c>
      <c r="AB8" s="2">
        <v>44029.606481481482</v>
      </c>
      <c r="AC8" t="s">
        <v>133</v>
      </c>
      <c r="AD8" s="2">
        <v>44029.607662037037</v>
      </c>
      <c r="AE8" t="s">
        <v>133</v>
      </c>
    </row>
    <row r="9" spans="1:31" x14ac:dyDescent="0.25">
      <c r="A9" s="7">
        <v>113</v>
      </c>
      <c r="B9" s="6">
        <v>44029</v>
      </c>
      <c r="C9" s="4">
        <f t="shared" si="0"/>
        <v>44029.333414351859</v>
      </c>
      <c r="D9" t="s">
        <v>162</v>
      </c>
      <c r="E9" s="5">
        <v>1</v>
      </c>
      <c r="F9" s="5" t="s">
        <v>30</v>
      </c>
      <c r="J9" t="s">
        <v>177</v>
      </c>
      <c r="K9" t="s">
        <v>237</v>
      </c>
      <c r="AA9" t="s">
        <v>195</v>
      </c>
      <c r="AB9" s="2">
        <v>44029.625081018523</v>
      </c>
      <c r="AC9" t="s">
        <v>133</v>
      </c>
      <c r="AD9" s="2">
        <v>44029.625914351847</v>
      </c>
      <c r="AE9" t="s">
        <v>133</v>
      </c>
    </row>
    <row r="10" spans="1:31" x14ac:dyDescent="0.25">
      <c r="A10" s="7">
        <v>4</v>
      </c>
      <c r="B10" s="6">
        <v>44029</v>
      </c>
      <c r="C10" s="4">
        <f t="shared" si="0"/>
        <v>44029.290034722224</v>
      </c>
      <c r="D10" t="s">
        <v>36</v>
      </c>
      <c r="E10" s="5">
        <v>1</v>
      </c>
      <c r="F10" s="5" t="s">
        <v>30</v>
      </c>
      <c r="K10" t="s">
        <v>236</v>
      </c>
      <c r="AA10" t="s">
        <v>37</v>
      </c>
      <c r="AB10" s="2">
        <v>44029.581701388888</v>
      </c>
      <c r="AC10" t="s">
        <v>32</v>
      </c>
      <c r="AD10" s="2">
        <v>44029.581701388888</v>
      </c>
      <c r="AE10" t="s">
        <v>32</v>
      </c>
    </row>
    <row r="11" spans="1:31" x14ac:dyDescent="0.25">
      <c r="A11" s="7">
        <v>15</v>
      </c>
      <c r="B11" s="6">
        <v>44029</v>
      </c>
      <c r="C11" s="4">
        <f t="shared" si="0"/>
        <v>44029.297037037039</v>
      </c>
      <c r="D11" t="s">
        <v>36</v>
      </c>
      <c r="E11" s="5">
        <v>1</v>
      </c>
      <c r="F11" s="5" t="s">
        <v>30</v>
      </c>
      <c r="K11" t="s">
        <v>236</v>
      </c>
      <c r="AA11" t="s">
        <v>56</v>
      </c>
      <c r="AB11" s="2">
        <v>44029.588703703703</v>
      </c>
      <c r="AC11" t="s">
        <v>32</v>
      </c>
      <c r="AD11" s="2">
        <v>44029.588703703703</v>
      </c>
      <c r="AE11" t="s">
        <v>32</v>
      </c>
    </row>
    <row r="12" spans="1:31" x14ac:dyDescent="0.25">
      <c r="A12" s="7">
        <v>17</v>
      </c>
      <c r="B12" s="6">
        <v>44029</v>
      </c>
      <c r="C12" s="4">
        <f t="shared" si="0"/>
        <v>44029.297835648147</v>
      </c>
      <c r="D12" t="s">
        <v>36</v>
      </c>
      <c r="E12" s="5">
        <v>1</v>
      </c>
      <c r="F12" s="5" t="s">
        <v>30</v>
      </c>
      <c r="K12" t="s">
        <v>236</v>
      </c>
      <c r="AA12" t="s">
        <v>59</v>
      </c>
      <c r="AB12" s="2">
        <v>44029.589502314811</v>
      </c>
      <c r="AC12" t="s">
        <v>32</v>
      </c>
      <c r="AD12" s="2">
        <v>44029.589502314811</v>
      </c>
      <c r="AE12" t="s">
        <v>32</v>
      </c>
    </row>
    <row r="13" spans="1:31" x14ac:dyDescent="0.25">
      <c r="A13" s="7">
        <v>79</v>
      </c>
      <c r="B13" s="6">
        <v>44029</v>
      </c>
      <c r="C13" s="4">
        <f t="shared" si="0"/>
        <v>44029.299571759264</v>
      </c>
      <c r="D13" t="s">
        <v>36</v>
      </c>
      <c r="E13" s="5">
        <v>1</v>
      </c>
      <c r="F13" s="5" t="s">
        <v>30</v>
      </c>
      <c r="K13" t="s">
        <v>237</v>
      </c>
      <c r="AA13" t="s">
        <v>151</v>
      </c>
      <c r="AB13" s="2">
        <v>44029.591238425928</v>
      </c>
      <c r="AC13" t="s">
        <v>133</v>
      </c>
      <c r="AD13" s="2">
        <v>44029.591238425928</v>
      </c>
      <c r="AE13" t="s">
        <v>133</v>
      </c>
    </row>
    <row r="14" spans="1:31" x14ac:dyDescent="0.25">
      <c r="A14" s="7">
        <v>98</v>
      </c>
      <c r="B14" s="6">
        <v>44029</v>
      </c>
      <c r="C14" s="4">
        <f t="shared" si="0"/>
        <v>44029.316319444442</v>
      </c>
      <c r="D14" t="s">
        <v>36</v>
      </c>
      <c r="E14" s="5">
        <v>1</v>
      </c>
      <c r="F14" s="5" t="s">
        <v>30</v>
      </c>
      <c r="K14" t="s">
        <v>237</v>
      </c>
      <c r="AA14" t="s">
        <v>179</v>
      </c>
      <c r="AB14" s="2">
        <v>44029.607986111107</v>
      </c>
      <c r="AC14" t="s">
        <v>133</v>
      </c>
      <c r="AD14" s="2">
        <v>44029.607986111107</v>
      </c>
      <c r="AE14" t="s">
        <v>133</v>
      </c>
    </row>
    <row r="15" spans="1:31" x14ac:dyDescent="0.25">
      <c r="A15" s="7">
        <v>119</v>
      </c>
      <c r="B15" s="6">
        <v>44029</v>
      </c>
      <c r="C15" s="4">
        <f t="shared" si="0"/>
        <v>44029.338148148148</v>
      </c>
      <c r="D15" t="s">
        <v>36</v>
      </c>
      <c r="E15" s="5">
        <v>1</v>
      </c>
      <c r="F15" s="5" t="s">
        <v>30</v>
      </c>
      <c r="K15" t="s">
        <v>237</v>
      </c>
      <c r="AA15" t="s">
        <v>202</v>
      </c>
      <c r="AB15" s="2">
        <v>44029.629814814813</v>
      </c>
      <c r="AC15" t="s">
        <v>133</v>
      </c>
      <c r="AD15" s="2">
        <v>44029.629814814813</v>
      </c>
      <c r="AE15" t="s">
        <v>133</v>
      </c>
    </row>
    <row r="16" spans="1:31" x14ac:dyDescent="0.25">
      <c r="A16" s="7">
        <v>64</v>
      </c>
      <c r="B16" s="6">
        <v>44029</v>
      </c>
      <c r="C16" s="4">
        <f t="shared" si="0"/>
        <v>44029.357754629629</v>
      </c>
      <c r="D16" t="s">
        <v>36</v>
      </c>
      <c r="E16" s="5">
        <v>1</v>
      </c>
      <c r="F16" s="5" t="s">
        <v>30</v>
      </c>
      <c r="K16" t="s">
        <v>236</v>
      </c>
      <c r="AA16" t="s">
        <v>127</v>
      </c>
      <c r="AB16" s="2">
        <v>44029.649421296293</v>
      </c>
      <c r="AC16" t="s">
        <v>32</v>
      </c>
      <c r="AD16" s="2">
        <v>44029.649421296293</v>
      </c>
      <c r="AE16" t="s">
        <v>32</v>
      </c>
    </row>
    <row r="17" spans="1:31" x14ac:dyDescent="0.25">
      <c r="A17" s="7">
        <v>140</v>
      </c>
      <c r="B17" s="6">
        <v>44029</v>
      </c>
      <c r="C17" s="4">
        <f t="shared" si="0"/>
        <v>44029.361655092594</v>
      </c>
      <c r="D17" t="s">
        <v>36</v>
      </c>
      <c r="E17" s="5">
        <v>1</v>
      </c>
      <c r="F17" s="5" t="s">
        <v>30</v>
      </c>
      <c r="K17" t="s">
        <v>237</v>
      </c>
      <c r="AA17" t="s">
        <v>225</v>
      </c>
      <c r="AB17" s="2">
        <v>44029.653321759259</v>
      </c>
      <c r="AC17" t="s">
        <v>133</v>
      </c>
      <c r="AD17" s="2">
        <v>44029.653321759259</v>
      </c>
      <c r="AE17" t="s">
        <v>133</v>
      </c>
    </row>
    <row r="18" spans="1:31" x14ac:dyDescent="0.25">
      <c r="A18" s="7">
        <v>114</v>
      </c>
      <c r="B18" s="6">
        <v>44029</v>
      </c>
      <c r="C18" s="4">
        <f t="shared" si="0"/>
        <v>44029.333796296298</v>
      </c>
      <c r="D18" t="s">
        <v>196</v>
      </c>
      <c r="E18" s="5">
        <v>1</v>
      </c>
      <c r="F18" s="5" t="s">
        <v>30</v>
      </c>
      <c r="K18" t="s">
        <v>237</v>
      </c>
      <c r="AA18" t="s">
        <v>197</v>
      </c>
      <c r="AB18" s="2">
        <v>44029.625462962962</v>
      </c>
      <c r="AC18" t="s">
        <v>133</v>
      </c>
      <c r="AD18" s="2">
        <v>44029.625462962962</v>
      </c>
      <c r="AE18" t="s">
        <v>133</v>
      </c>
    </row>
    <row r="19" spans="1:31" x14ac:dyDescent="0.25">
      <c r="A19" s="7">
        <v>32</v>
      </c>
      <c r="B19" s="6">
        <v>44029</v>
      </c>
      <c r="C19" s="4">
        <f t="shared" si="0"/>
        <v>44029.308356481473</v>
      </c>
      <c r="D19" t="s">
        <v>81</v>
      </c>
      <c r="E19" s="5">
        <v>1</v>
      </c>
      <c r="F19" s="5" t="s">
        <v>30</v>
      </c>
      <c r="K19" t="s">
        <v>236</v>
      </c>
      <c r="AA19" t="s">
        <v>82</v>
      </c>
      <c r="AB19" s="2">
        <v>44029.600023148138</v>
      </c>
      <c r="AC19" t="s">
        <v>32</v>
      </c>
      <c r="AD19" s="2">
        <v>44029.600023148138</v>
      </c>
      <c r="AE19" t="s">
        <v>32</v>
      </c>
    </row>
    <row r="20" spans="1:31" x14ac:dyDescent="0.25">
      <c r="A20" s="7">
        <v>41</v>
      </c>
      <c r="B20" s="6">
        <v>44029</v>
      </c>
      <c r="C20" s="4">
        <f t="shared" si="0"/>
        <v>44029.315590277773</v>
      </c>
      <c r="D20" t="s">
        <v>81</v>
      </c>
      <c r="E20" s="5">
        <v>2</v>
      </c>
      <c r="F20" s="5" t="s">
        <v>30</v>
      </c>
      <c r="K20" t="s">
        <v>236</v>
      </c>
      <c r="AA20" t="s">
        <v>95</v>
      </c>
      <c r="AB20" s="2">
        <v>44029.607256944437</v>
      </c>
      <c r="AC20" t="s">
        <v>32</v>
      </c>
      <c r="AD20" s="2">
        <v>44029.607256944437</v>
      </c>
      <c r="AE20" t="s">
        <v>32</v>
      </c>
    </row>
    <row r="21" spans="1:31" x14ac:dyDescent="0.25">
      <c r="A21" s="7">
        <v>100</v>
      </c>
      <c r="B21" s="6">
        <v>44029</v>
      </c>
      <c r="C21" s="4">
        <f t="shared" si="0"/>
        <v>44029.320729166662</v>
      </c>
      <c r="D21" t="s">
        <v>81</v>
      </c>
      <c r="E21" s="5">
        <v>1</v>
      </c>
      <c r="F21" s="5" t="s">
        <v>30</v>
      </c>
      <c r="K21" t="s">
        <v>237</v>
      </c>
      <c r="AA21" t="s">
        <v>181</v>
      </c>
      <c r="AB21" s="2">
        <v>44029.612395833326</v>
      </c>
      <c r="AC21" t="s">
        <v>133</v>
      </c>
      <c r="AD21" s="2">
        <v>44029.612395833326</v>
      </c>
      <c r="AE21" t="s">
        <v>133</v>
      </c>
    </row>
    <row r="22" spans="1:31" x14ac:dyDescent="0.25">
      <c r="A22" s="7">
        <v>105</v>
      </c>
      <c r="B22" s="6">
        <v>44029</v>
      </c>
      <c r="C22" s="4">
        <f t="shared" si="0"/>
        <v>44029.325347222235</v>
      </c>
      <c r="D22" t="s">
        <v>81</v>
      </c>
      <c r="E22" s="5">
        <v>1</v>
      </c>
      <c r="F22" s="5" t="s">
        <v>30</v>
      </c>
      <c r="J22" t="s">
        <v>235</v>
      </c>
      <c r="K22" t="s">
        <v>237</v>
      </c>
      <c r="AA22" t="s">
        <v>186</v>
      </c>
      <c r="AB22" s="2">
        <v>44029.617013888899</v>
      </c>
      <c r="AC22" t="s">
        <v>133</v>
      </c>
      <c r="AD22" s="2">
        <v>44029.617013888899</v>
      </c>
      <c r="AE22" t="s">
        <v>133</v>
      </c>
    </row>
    <row r="23" spans="1:31" x14ac:dyDescent="0.25">
      <c r="A23" s="7">
        <v>135</v>
      </c>
      <c r="B23" s="6">
        <v>44029</v>
      </c>
      <c r="C23" s="4">
        <f t="shared" si="0"/>
        <v>44029.357581018528</v>
      </c>
      <c r="D23" t="s">
        <v>81</v>
      </c>
      <c r="E23" s="5">
        <v>1</v>
      </c>
      <c r="F23" s="5" t="s">
        <v>30</v>
      </c>
      <c r="J23" t="s">
        <v>177</v>
      </c>
      <c r="K23" t="s">
        <v>237</v>
      </c>
      <c r="AA23" t="s">
        <v>219</v>
      </c>
      <c r="AB23" s="2">
        <v>44029.649247685193</v>
      </c>
      <c r="AC23" t="s">
        <v>133</v>
      </c>
      <c r="AD23" s="2">
        <v>44029.649895833332</v>
      </c>
      <c r="AE23" t="s">
        <v>133</v>
      </c>
    </row>
    <row r="24" spans="1:31" x14ac:dyDescent="0.25">
      <c r="A24" s="7">
        <v>66</v>
      </c>
      <c r="B24" s="6">
        <v>44029</v>
      </c>
      <c r="C24" s="4">
        <f t="shared" si="0"/>
        <v>44029.364826388883</v>
      </c>
      <c r="D24" t="s">
        <v>81</v>
      </c>
      <c r="E24" s="5">
        <v>1</v>
      </c>
      <c r="F24" s="5" t="s">
        <v>30</v>
      </c>
      <c r="K24" t="s">
        <v>236</v>
      </c>
      <c r="AA24" t="s">
        <v>130</v>
      </c>
      <c r="AB24" s="2">
        <v>44029.656493055547</v>
      </c>
      <c r="AC24" t="s">
        <v>32</v>
      </c>
      <c r="AD24" s="2">
        <v>44029.656493055547</v>
      </c>
      <c r="AE24" t="s">
        <v>32</v>
      </c>
    </row>
    <row r="25" spans="1:31" x14ac:dyDescent="0.25">
      <c r="A25" s="7">
        <v>1</v>
      </c>
      <c r="B25" s="6">
        <v>44029</v>
      </c>
      <c r="C25" s="4">
        <f t="shared" si="0"/>
        <v>44029.288703703707</v>
      </c>
      <c r="D25" t="s">
        <v>29</v>
      </c>
      <c r="E25" s="5">
        <v>6</v>
      </c>
      <c r="F25" s="5" t="s">
        <v>30</v>
      </c>
      <c r="K25" t="s">
        <v>236</v>
      </c>
      <c r="AA25" t="s">
        <v>31</v>
      </c>
      <c r="AB25" s="2">
        <v>44029.580370370371</v>
      </c>
      <c r="AC25" t="s">
        <v>32</v>
      </c>
      <c r="AD25" s="2">
        <v>44029.63244212963</v>
      </c>
      <c r="AE25" t="s">
        <v>32</v>
      </c>
    </row>
    <row r="26" spans="1:31" x14ac:dyDescent="0.25">
      <c r="A26" s="7">
        <v>67</v>
      </c>
      <c r="B26" s="6">
        <v>44029</v>
      </c>
      <c r="C26" s="4">
        <f t="shared" si="0"/>
        <v>44029.289166666669</v>
      </c>
      <c r="D26" t="s">
        <v>29</v>
      </c>
      <c r="E26" s="5">
        <v>1</v>
      </c>
      <c r="F26" s="5" t="s">
        <v>92</v>
      </c>
      <c r="K26" t="s">
        <v>237</v>
      </c>
      <c r="L26" t="s">
        <v>131</v>
      </c>
      <c r="N26">
        <v>65</v>
      </c>
      <c r="O26">
        <v>100</v>
      </c>
      <c r="AA26" t="s">
        <v>132</v>
      </c>
      <c r="AB26" s="2">
        <v>44029.580833333333</v>
      </c>
      <c r="AC26" t="s">
        <v>133</v>
      </c>
      <c r="AD26" s="2">
        <v>44029.580833333333</v>
      </c>
      <c r="AE26" t="s">
        <v>133</v>
      </c>
    </row>
    <row r="27" spans="1:31" x14ac:dyDescent="0.25">
      <c r="A27" s="7">
        <v>69</v>
      </c>
      <c r="B27" s="6">
        <v>44029</v>
      </c>
      <c r="C27" s="4">
        <f t="shared" si="0"/>
        <v>44029.289386574077</v>
      </c>
      <c r="D27" t="s">
        <v>29</v>
      </c>
      <c r="E27" s="5">
        <v>3</v>
      </c>
      <c r="F27" s="5" t="s">
        <v>30</v>
      </c>
      <c r="K27" t="s">
        <v>237</v>
      </c>
      <c r="AA27" t="s">
        <v>136</v>
      </c>
      <c r="AB27" s="2">
        <v>44029.581053240741</v>
      </c>
      <c r="AC27" t="s">
        <v>133</v>
      </c>
      <c r="AD27" s="2">
        <v>44029.581053240741</v>
      </c>
      <c r="AE27" t="s">
        <v>133</v>
      </c>
    </row>
    <row r="28" spans="1:31" x14ac:dyDescent="0.25">
      <c r="A28" s="7">
        <v>33</v>
      </c>
      <c r="B28" s="6">
        <v>44029</v>
      </c>
      <c r="C28" s="4">
        <f t="shared" si="0"/>
        <v>44029.308680555558</v>
      </c>
      <c r="D28" t="s">
        <v>29</v>
      </c>
      <c r="E28" s="5">
        <v>1</v>
      </c>
      <c r="F28" s="5" t="s">
        <v>30</v>
      </c>
      <c r="K28" t="s">
        <v>236</v>
      </c>
      <c r="AA28" t="s">
        <v>83</v>
      </c>
      <c r="AB28" s="2">
        <v>44029.600347222222</v>
      </c>
      <c r="AC28" t="s">
        <v>32</v>
      </c>
      <c r="AD28" s="2">
        <v>44029.600347222222</v>
      </c>
      <c r="AE28" t="s">
        <v>32</v>
      </c>
    </row>
    <row r="29" spans="1:31" x14ac:dyDescent="0.25">
      <c r="A29" s="7">
        <v>137</v>
      </c>
      <c r="B29" s="6">
        <v>44029</v>
      </c>
      <c r="C29" s="4">
        <f t="shared" si="0"/>
        <v>44029.359317129623</v>
      </c>
      <c r="D29" t="s">
        <v>29</v>
      </c>
      <c r="E29" s="5">
        <v>7</v>
      </c>
      <c r="F29" s="5" t="s">
        <v>92</v>
      </c>
      <c r="J29" t="s">
        <v>256</v>
      </c>
      <c r="K29" t="s">
        <v>237</v>
      </c>
      <c r="AA29" t="s">
        <v>221</v>
      </c>
      <c r="AB29" s="2">
        <v>44029.650983796288</v>
      </c>
      <c r="AC29" t="s">
        <v>133</v>
      </c>
      <c r="AD29" s="2">
        <v>44029.65289351852</v>
      </c>
      <c r="AE29" t="s">
        <v>133</v>
      </c>
    </row>
    <row r="30" spans="1:31" x14ac:dyDescent="0.25">
      <c r="A30" s="7">
        <v>8</v>
      </c>
      <c r="B30" s="6">
        <v>44029</v>
      </c>
      <c r="C30" s="4">
        <f t="shared" si="0"/>
        <v>44029.292719907418</v>
      </c>
      <c r="D30" t="s">
        <v>43</v>
      </c>
      <c r="E30" s="5">
        <v>2</v>
      </c>
      <c r="F30" s="5" t="s">
        <v>30</v>
      </c>
      <c r="K30" t="s">
        <v>236</v>
      </c>
      <c r="AA30" t="s">
        <v>44</v>
      </c>
      <c r="AB30" s="2">
        <v>44029.584386574083</v>
      </c>
      <c r="AC30" t="s">
        <v>32</v>
      </c>
      <c r="AD30" s="2">
        <v>44029.584386574083</v>
      </c>
      <c r="AE30" t="s">
        <v>32</v>
      </c>
    </row>
    <row r="31" spans="1:31" x14ac:dyDescent="0.25">
      <c r="A31" s="7">
        <v>6</v>
      </c>
      <c r="B31" s="6">
        <v>44029</v>
      </c>
      <c r="C31" s="4">
        <f t="shared" si="0"/>
        <v>44029.291886574087</v>
      </c>
      <c r="D31" t="s">
        <v>40</v>
      </c>
      <c r="E31" s="5">
        <v>2</v>
      </c>
      <c r="F31" s="5" t="s">
        <v>30</v>
      </c>
      <c r="K31" t="s">
        <v>236</v>
      </c>
      <c r="AA31" t="s">
        <v>41</v>
      </c>
      <c r="AB31" s="2">
        <v>44029.583553240751</v>
      </c>
      <c r="AC31" t="s">
        <v>32</v>
      </c>
      <c r="AD31" s="2">
        <v>44029.583553240751</v>
      </c>
      <c r="AE31" t="s">
        <v>32</v>
      </c>
    </row>
    <row r="32" spans="1:31" x14ac:dyDescent="0.25">
      <c r="A32" s="7">
        <v>13</v>
      </c>
      <c r="B32" s="6">
        <v>44029</v>
      </c>
      <c r="C32" s="4">
        <f t="shared" si="0"/>
        <v>44029.296562499992</v>
      </c>
      <c r="D32" t="s">
        <v>40</v>
      </c>
      <c r="E32" s="5">
        <v>2</v>
      </c>
      <c r="F32" s="5" t="s">
        <v>30</v>
      </c>
      <c r="K32" t="s">
        <v>236</v>
      </c>
      <c r="AA32" t="s">
        <v>53</v>
      </c>
      <c r="AB32" s="2">
        <v>44029.588229166657</v>
      </c>
      <c r="AC32" t="s">
        <v>32</v>
      </c>
      <c r="AD32" s="2">
        <v>44029.588229166657</v>
      </c>
      <c r="AE32" t="s">
        <v>32</v>
      </c>
    </row>
    <row r="33" spans="1:31" x14ac:dyDescent="0.25">
      <c r="A33" s="7">
        <v>94</v>
      </c>
      <c r="B33" s="6">
        <v>44029</v>
      </c>
      <c r="C33" s="4">
        <f t="shared" si="0"/>
        <v>44029.312557870369</v>
      </c>
      <c r="D33" t="s">
        <v>40</v>
      </c>
      <c r="E33" s="5">
        <v>8</v>
      </c>
      <c r="F33" s="5" t="s">
        <v>30</v>
      </c>
      <c r="K33" t="s">
        <v>237</v>
      </c>
      <c r="AA33" t="s">
        <v>174</v>
      </c>
      <c r="AB33" s="2">
        <v>44029.604224537034</v>
      </c>
      <c r="AC33" t="s">
        <v>133</v>
      </c>
      <c r="AD33" s="2">
        <v>44029.604525462957</v>
      </c>
      <c r="AE33" t="s">
        <v>133</v>
      </c>
    </row>
    <row r="34" spans="1:31" x14ac:dyDescent="0.25">
      <c r="A34" s="7">
        <v>49</v>
      </c>
      <c r="B34" s="6">
        <v>44029</v>
      </c>
      <c r="C34" s="4">
        <f t="shared" ref="C34:C65" si="1">AB34-(7/24)</f>
        <v>44029.321296296293</v>
      </c>
      <c r="D34" t="s">
        <v>40</v>
      </c>
      <c r="E34" s="5">
        <v>3</v>
      </c>
      <c r="F34" s="5" t="s">
        <v>30</v>
      </c>
      <c r="K34" t="s">
        <v>236</v>
      </c>
      <c r="AA34" t="s">
        <v>105</v>
      </c>
      <c r="AB34" s="2">
        <v>44029.612962962958</v>
      </c>
      <c r="AC34" t="s">
        <v>32</v>
      </c>
      <c r="AD34" s="2">
        <v>44029.612962962958</v>
      </c>
      <c r="AE34" t="s">
        <v>32</v>
      </c>
    </row>
    <row r="35" spans="1:31" x14ac:dyDescent="0.25">
      <c r="A35" s="7">
        <v>5</v>
      </c>
      <c r="B35" s="6">
        <v>44029</v>
      </c>
      <c r="C35" s="4">
        <f t="shared" si="1"/>
        <v>44029.290381944447</v>
      </c>
      <c r="D35" t="s">
        <v>38</v>
      </c>
      <c r="E35" s="5">
        <v>2</v>
      </c>
      <c r="F35" s="5" t="s">
        <v>30</v>
      </c>
      <c r="K35" t="s">
        <v>236</v>
      </c>
      <c r="AA35" t="s">
        <v>39</v>
      </c>
      <c r="AB35" s="2">
        <v>44029.582048611112</v>
      </c>
      <c r="AC35" t="s">
        <v>32</v>
      </c>
      <c r="AD35" s="2">
        <v>44029.582048611112</v>
      </c>
      <c r="AE35" t="s">
        <v>32</v>
      </c>
    </row>
    <row r="36" spans="1:31" x14ac:dyDescent="0.25">
      <c r="A36" s="7">
        <v>84</v>
      </c>
      <c r="B36" s="6">
        <v>44029</v>
      </c>
      <c r="C36" s="4">
        <f t="shared" si="1"/>
        <v>44029.304039351853</v>
      </c>
      <c r="D36" t="s">
        <v>38</v>
      </c>
      <c r="E36" s="5">
        <v>1</v>
      </c>
      <c r="F36" s="5" t="s">
        <v>30</v>
      </c>
      <c r="K36" t="s">
        <v>237</v>
      </c>
      <c r="AA36" t="s">
        <v>159</v>
      </c>
      <c r="AB36" s="2">
        <v>44029.595706018517</v>
      </c>
      <c r="AC36" t="s">
        <v>133</v>
      </c>
      <c r="AD36" s="2">
        <v>44029.595706018517</v>
      </c>
      <c r="AE36" t="s">
        <v>133</v>
      </c>
    </row>
    <row r="37" spans="1:31" x14ac:dyDescent="0.25">
      <c r="A37" s="7">
        <v>123</v>
      </c>
      <c r="B37" s="6">
        <v>44029</v>
      </c>
      <c r="C37" s="4">
        <f t="shared" si="1"/>
        <v>44029.341134259259</v>
      </c>
      <c r="D37" t="s">
        <v>38</v>
      </c>
      <c r="E37" s="5">
        <v>1</v>
      </c>
      <c r="F37" s="5" t="s">
        <v>92</v>
      </c>
      <c r="K37" t="s">
        <v>237</v>
      </c>
      <c r="AA37" t="s">
        <v>206</v>
      </c>
      <c r="AB37" s="2">
        <v>44029.632800925923</v>
      </c>
      <c r="AC37" t="s">
        <v>133</v>
      </c>
      <c r="AD37" s="2">
        <v>44029.632800925923</v>
      </c>
      <c r="AE37" t="s">
        <v>133</v>
      </c>
    </row>
    <row r="38" spans="1:31" x14ac:dyDescent="0.25">
      <c r="A38" s="7">
        <v>124</v>
      </c>
      <c r="B38" s="6">
        <v>44029</v>
      </c>
      <c r="C38" s="4">
        <f t="shared" si="1"/>
        <v>44029.341562500013</v>
      </c>
      <c r="D38" t="s">
        <v>38</v>
      </c>
      <c r="E38" s="5">
        <v>1</v>
      </c>
      <c r="F38" s="5" t="s">
        <v>30</v>
      </c>
      <c r="K38" t="s">
        <v>237</v>
      </c>
      <c r="AA38" t="s">
        <v>207</v>
      </c>
      <c r="AB38" s="2">
        <v>44029.633229166677</v>
      </c>
      <c r="AC38" t="s">
        <v>133</v>
      </c>
      <c r="AD38" s="2">
        <v>44029.633229166677</v>
      </c>
      <c r="AE38" t="s">
        <v>133</v>
      </c>
    </row>
    <row r="39" spans="1:31" x14ac:dyDescent="0.25">
      <c r="A39" s="7">
        <v>127</v>
      </c>
      <c r="B39" s="6">
        <v>44029</v>
      </c>
      <c r="C39" s="4">
        <f t="shared" si="1"/>
        <v>44029.347604166673</v>
      </c>
      <c r="D39" t="s">
        <v>38</v>
      </c>
      <c r="E39" s="5">
        <v>1</v>
      </c>
      <c r="F39" s="5" t="s">
        <v>30</v>
      </c>
      <c r="K39" t="s">
        <v>237</v>
      </c>
      <c r="AA39" t="s">
        <v>210</v>
      </c>
      <c r="AB39" s="2">
        <v>44029.639270833337</v>
      </c>
      <c r="AC39" t="s">
        <v>133</v>
      </c>
      <c r="AD39" s="2">
        <v>44029.639270833337</v>
      </c>
      <c r="AE39" t="s">
        <v>133</v>
      </c>
    </row>
    <row r="40" spans="1:31" x14ac:dyDescent="0.25">
      <c r="A40" s="7">
        <v>129</v>
      </c>
      <c r="B40" s="6">
        <v>44029</v>
      </c>
      <c r="C40" s="4">
        <f t="shared" si="1"/>
        <v>44029.350775462975</v>
      </c>
      <c r="D40" t="s">
        <v>38</v>
      </c>
      <c r="E40" s="5">
        <v>1</v>
      </c>
      <c r="F40" s="5" t="s">
        <v>30</v>
      </c>
      <c r="K40" t="s">
        <v>237</v>
      </c>
      <c r="AA40" t="s">
        <v>212</v>
      </c>
      <c r="AB40" s="2">
        <v>44029.64244212964</v>
      </c>
      <c r="AC40" t="s">
        <v>133</v>
      </c>
      <c r="AD40" s="2">
        <v>44029.64244212964</v>
      </c>
      <c r="AE40" t="s">
        <v>133</v>
      </c>
    </row>
    <row r="41" spans="1:31" x14ac:dyDescent="0.25">
      <c r="A41" s="7">
        <v>16</v>
      </c>
      <c r="B41" s="6">
        <v>44029</v>
      </c>
      <c r="C41" s="4">
        <f t="shared" si="1"/>
        <v>44029.297499999993</v>
      </c>
      <c r="D41" t="s">
        <v>57</v>
      </c>
      <c r="E41" s="5">
        <v>1</v>
      </c>
      <c r="F41" s="5" t="s">
        <v>30</v>
      </c>
      <c r="K41" t="s">
        <v>236</v>
      </c>
      <c r="AA41" t="s">
        <v>58</v>
      </c>
      <c r="AB41" s="2">
        <v>44029.589166666658</v>
      </c>
      <c r="AC41" t="s">
        <v>32</v>
      </c>
      <c r="AD41" s="2">
        <v>44029.589166666658</v>
      </c>
      <c r="AE41" t="s">
        <v>32</v>
      </c>
    </row>
    <row r="42" spans="1:31" x14ac:dyDescent="0.25">
      <c r="A42" s="7">
        <v>62</v>
      </c>
      <c r="B42" s="6">
        <v>44029</v>
      </c>
      <c r="C42" s="4">
        <f t="shared" si="1"/>
        <v>44029.344479166662</v>
      </c>
      <c r="D42" t="s">
        <v>57</v>
      </c>
      <c r="E42" s="5">
        <v>1</v>
      </c>
      <c r="F42" s="5" t="s">
        <v>30</v>
      </c>
      <c r="K42" t="s">
        <v>236</v>
      </c>
      <c r="AA42" t="s">
        <v>124</v>
      </c>
      <c r="AB42" s="2">
        <v>44029.636145833327</v>
      </c>
      <c r="AC42" t="s">
        <v>32</v>
      </c>
      <c r="AD42" s="2">
        <v>44029.636145833327</v>
      </c>
      <c r="AE42" t="s">
        <v>32</v>
      </c>
    </row>
    <row r="43" spans="1:31" x14ac:dyDescent="0.25">
      <c r="A43" s="7">
        <v>130</v>
      </c>
      <c r="B43" s="6">
        <v>44029</v>
      </c>
      <c r="C43" s="4">
        <f t="shared" si="1"/>
        <v>44029.352037037039</v>
      </c>
      <c r="D43" t="s">
        <v>57</v>
      </c>
      <c r="E43" s="5">
        <v>1</v>
      </c>
      <c r="F43" s="5" t="s">
        <v>92</v>
      </c>
      <c r="J43" t="s">
        <v>256</v>
      </c>
      <c r="K43" t="s">
        <v>237</v>
      </c>
      <c r="AA43" t="s">
        <v>213</v>
      </c>
      <c r="AB43" s="2">
        <v>44029.643703703703</v>
      </c>
      <c r="AC43" t="s">
        <v>133</v>
      </c>
      <c r="AD43" s="2">
        <v>44029.643703703703</v>
      </c>
      <c r="AE43" t="s">
        <v>133</v>
      </c>
    </row>
    <row r="44" spans="1:31" x14ac:dyDescent="0.25">
      <c r="A44" s="7">
        <v>141</v>
      </c>
      <c r="B44" s="6">
        <v>44029</v>
      </c>
      <c r="C44" s="4">
        <f t="shared" si="1"/>
        <v>44029.362152777772</v>
      </c>
      <c r="D44" t="s">
        <v>57</v>
      </c>
      <c r="E44" s="5">
        <v>1</v>
      </c>
      <c r="F44" s="5" t="s">
        <v>92</v>
      </c>
      <c r="G44" t="s">
        <v>160</v>
      </c>
      <c r="J44" t="s">
        <v>256</v>
      </c>
      <c r="K44" t="s">
        <v>237</v>
      </c>
      <c r="AA44" t="s">
        <v>226</v>
      </c>
      <c r="AB44" s="2">
        <v>44029.653819444437</v>
      </c>
      <c r="AC44" t="s">
        <v>133</v>
      </c>
      <c r="AD44" s="2">
        <v>44029.653819444437</v>
      </c>
      <c r="AE44" t="s">
        <v>133</v>
      </c>
    </row>
    <row r="45" spans="1:31" x14ac:dyDescent="0.25">
      <c r="A45" s="7">
        <v>50</v>
      </c>
      <c r="B45" s="6">
        <v>44029</v>
      </c>
      <c r="C45" s="4">
        <f t="shared" si="1"/>
        <v>44029.321956018539</v>
      </c>
      <c r="D45" t="s">
        <v>106</v>
      </c>
      <c r="E45" s="5">
        <v>1</v>
      </c>
      <c r="F45" s="5" t="s">
        <v>30</v>
      </c>
      <c r="K45" t="s">
        <v>236</v>
      </c>
      <c r="AA45" t="s">
        <v>107</v>
      </c>
      <c r="AB45" s="2">
        <v>44029.613622685203</v>
      </c>
      <c r="AC45" t="s">
        <v>32</v>
      </c>
      <c r="AD45" s="2">
        <v>44029.613622685203</v>
      </c>
      <c r="AE45" t="s">
        <v>32</v>
      </c>
    </row>
    <row r="46" spans="1:31" x14ac:dyDescent="0.25">
      <c r="A46" s="7">
        <v>111</v>
      </c>
      <c r="B46" s="6">
        <v>44029</v>
      </c>
      <c r="C46" s="4">
        <f t="shared" si="1"/>
        <v>44029.331932870373</v>
      </c>
      <c r="D46" t="s">
        <v>106</v>
      </c>
      <c r="E46" s="5">
        <v>3</v>
      </c>
      <c r="F46" s="5" t="s">
        <v>30</v>
      </c>
      <c r="K46" t="s">
        <v>237</v>
      </c>
      <c r="AA46" t="s">
        <v>193</v>
      </c>
      <c r="AB46" s="2">
        <v>44029.623599537037</v>
      </c>
      <c r="AC46" t="s">
        <v>133</v>
      </c>
      <c r="AD46" s="2">
        <v>44029.623599537037</v>
      </c>
      <c r="AE46" t="s">
        <v>133</v>
      </c>
    </row>
    <row r="47" spans="1:31" x14ac:dyDescent="0.25">
      <c r="A47" s="7">
        <v>57</v>
      </c>
      <c r="B47" s="6">
        <v>44029</v>
      </c>
      <c r="C47" s="4">
        <f t="shared" si="1"/>
        <v>44029.334733796299</v>
      </c>
      <c r="D47" t="s">
        <v>106</v>
      </c>
      <c r="E47" s="5">
        <v>1</v>
      </c>
      <c r="F47" s="5" t="s">
        <v>30</v>
      </c>
      <c r="K47" t="s">
        <v>236</v>
      </c>
      <c r="AA47" t="s">
        <v>119</v>
      </c>
      <c r="AB47" s="2">
        <v>44029.626400462963</v>
      </c>
      <c r="AC47" t="s">
        <v>32</v>
      </c>
      <c r="AD47" s="2">
        <v>44029.626400462963</v>
      </c>
      <c r="AE47" t="s">
        <v>32</v>
      </c>
    </row>
    <row r="48" spans="1:31" x14ac:dyDescent="0.25">
      <c r="A48" s="7">
        <v>59</v>
      </c>
      <c r="B48" s="6">
        <v>44029</v>
      </c>
      <c r="C48" s="4">
        <f t="shared" si="1"/>
        <v>44029.336307870362</v>
      </c>
      <c r="D48" t="s">
        <v>106</v>
      </c>
      <c r="E48" s="5">
        <v>3</v>
      </c>
      <c r="F48" s="5" t="s">
        <v>30</v>
      </c>
      <c r="K48" t="s">
        <v>236</v>
      </c>
      <c r="AA48" t="s">
        <v>121</v>
      </c>
      <c r="AB48" s="2">
        <v>44029.627974537027</v>
      </c>
      <c r="AC48" t="s">
        <v>32</v>
      </c>
      <c r="AD48" s="2">
        <v>44029.629791666674</v>
      </c>
      <c r="AE48" t="s">
        <v>32</v>
      </c>
    </row>
    <row r="49" spans="1:31" x14ac:dyDescent="0.25">
      <c r="A49" s="7">
        <v>117</v>
      </c>
      <c r="B49" s="6">
        <v>44029</v>
      </c>
      <c r="C49" s="4">
        <f t="shared" si="1"/>
        <v>44029.337083333347</v>
      </c>
      <c r="D49" t="s">
        <v>106</v>
      </c>
      <c r="E49" s="5">
        <v>2</v>
      </c>
      <c r="F49" s="5" t="s">
        <v>30</v>
      </c>
      <c r="J49" t="s">
        <v>177</v>
      </c>
      <c r="K49" t="s">
        <v>237</v>
      </c>
      <c r="AA49" t="s">
        <v>200</v>
      </c>
      <c r="AB49" s="2">
        <v>44029.628750000011</v>
      </c>
      <c r="AC49" t="s">
        <v>133</v>
      </c>
      <c r="AD49" s="2">
        <v>44029.628750000011</v>
      </c>
      <c r="AE49" t="s">
        <v>133</v>
      </c>
    </row>
    <row r="50" spans="1:31" x14ac:dyDescent="0.25">
      <c r="A50" s="7">
        <v>120</v>
      </c>
      <c r="B50" s="6">
        <v>44029</v>
      </c>
      <c r="C50" s="4">
        <f t="shared" si="1"/>
        <v>44029.338807870379</v>
      </c>
      <c r="D50" t="s">
        <v>106</v>
      </c>
      <c r="E50" s="5">
        <v>1</v>
      </c>
      <c r="F50" s="5" t="s">
        <v>30</v>
      </c>
      <c r="K50" t="s">
        <v>237</v>
      </c>
      <c r="AA50" t="s">
        <v>203</v>
      </c>
      <c r="AB50" s="2">
        <v>44029.630474537043</v>
      </c>
      <c r="AC50" t="s">
        <v>133</v>
      </c>
      <c r="AD50" s="2">
        <v>44029.630474537043</v>
      </c>
      <c r="AE50" t="s">
        <v>133</v>
      </c>
    </row>
    <row r="51" spans="1:31" x14ac:dyDescent="0.25">
      <c r="A51" s="7">
        <v>136</v>
      </c>
      <c r="B51" s="6">
        <v>44029</v>
      </c>
      <c r="C51" s="4">
        <f t="shared" si="1"/>
        <v>44029.358726851853</v>
      </c>
      <c r="D51" t="s">
        <v>106</v>
      </c>
      <c r="E51" s="5">
        <v>1</v>
      </c>
      <c r="F51" s="5" t="s">
        <v>30</v>
      </c>
      <c r="K51" t="s">
        <v>237</v>
      </c>
      <c r="AA51" t="s">
        <v>220</v>
      </c>
      <c r="AB51" s="2">
        <v>44029.650393518517</v>
      </c>
      <c r="AC51" t="s">
        <v>133</v>
      </c>
      <c r="AD51" s="2">
        <v>44029.650393518517</v>
      </c>
      <c r="AE51" t="s">
        <v>133</v>
      </c>
    </row>
    <row r="52" spans="1:31" x14ac:dyDescent="0.25">
      <c r="A52" s="7">
        <v>143</v>
      </c>
      <c r="B52" s="6">
        <v>44029</v>
      </c>
      <c r="C52" s="4">
        <f t="shared" si="1"/>
        <v>44029.369236111124</v>
      </c>
      <c r="D52" t="s">
        <v>106</v>
      </c>
      <c r="E52" s="5">
        <v>1</v>
      </c>
      <c r="F52" s="5" t="s">
        <v>30</v>
      </c>
      <c r="K52" t="s">
        <v>237</v>
      </c>
      <c r="AA52" t="s">
        <v>228</v>
      </c>
      <c r="AB52" s="2">
        <v>44029.660902777789</v>
      </c>
      <c r="AC52" t="s">
        <v>133</v>
      </c>
      <c r="AD52" s="2">
        <v>44029.660902777789</v>
      </c>
      <c r="AE52" t="s">
        <v>133</v>
      </c>
    </row>
    <row r="53" spans="1:31" x14ac:dyDescent="0.25">
      <c r="A53" s="7">
        <v>12</v>
      </c>
      <c r="B53" s="6">
        <v>44029</v>
      </c>
      <c r="C53" s="4">
        <f t="shared" si="1"/>
        <v>44029.295509259253</v>
      </c>
      <c r="D53" t="s">
        <v>51</v>
      </c>
      <c r="E53" s="5">
        <v>1</v>
      </c>
      <c r="F53" s="5" t="s">
        <v>30</v>
      </c>
      <c r="K53" t="s">
        <v>236</v>
      </c>
      <c r="AA53" t="s">
        <v>52</v>
      </c>
      <c r="AB53" s="2">
        <v>44029.587175925917</v>
      </c>
      <c r="AC53" t="s">
        <v>32</v>
      </c>
      <c r="AD53" s="2">
        <v>44029.587175925917</v>
      </c>
      <c r="AE53" t="s">
        <v>32</v>
      </c>
    </row>
    <row r="54" spans="1:31" x14ac:dyDescent="0.25">
      <c r="A54" s="7">
        <v>18</v>
      </c>
      <c r="B54" s="6">
        <v>44029</v>
      </c>
      <c r="C54" s="4">
        <f t="shared" si="1"/>
        <v>44029.298726851855</v>
      </c>
      <c r="D54" t="s">
        <v>51</v>
      </c>
      <c r="E54" s="5">
        <v>1</v>
      </c>
      <c r="F54" s="5" t="s">
        <v>30</v>
      </c>
      <c r="K54" t="s">
        <v>236</v>
      </c>
      <c r="AA54" t="s">
        <v>60</v>
      </c>
      <c r="AB54" s="2">
        <v>44029.59039351852</v>
      </c>
      <c r="AC54" t="s">
        <v>32</v>
      </c>
      <c r="AD54" s="2">
        <v>44029.59039351852</v>
      </c>
      <c r="AE54" t="s">
        <v>32</v>
      </c>
    </row>
    <row r="55" spans="1:31" x14ac:dyDescent="0.25">
      <c r="A55" s="7">
        <v>95</v>
      </c>
      <c r="B55" s="6">
        <v>44029</v>
      </c>
      <c r="C55" s="4">
        <f t="shared" si="1"/>
        <v>44029.314004629639</v>
      </c>
      <c r="D55" t="s">
        <v>51</v>
      </c>
      <c r="E55" s="5">
        <v>1</v>
      </c>
      <c r="F55" s="5" t="s">
        <v>30</v>
      </c>
      <c r="G55" t="s">
        <v>160</v>
      </c>
      <c r="K55" t="s">
        <v>237</v>
      </c>
      <c r="AA55" t="s">
        <v>175</v>
      </c>
      <c r="AB55" s="2">
        <v>44029.605671296304</v>
      </c>
      <c r="AC55" t="s">
        <v>133</v>
      </c>
      <c r="AD55" s="2">
        <v>44029.605671296304</v>
      </c>
      <c r="AE55" t="s">
        <v>133</v>
      </c>
    </row>
    <row r="56" spans="1:31" x14ac:dyDescent="0.25">
      <c r="A56" s="7">
        <v>70</v>
      </c>
      <c r="B56" s="6">
        <v>44029</v>
      </c>
      <c r="C56" s="4">
        <f t="shared" si="1"/>
        <v>44029.290173611116</v>
      </c>
      <c r="D56" t="s">
        <v>71</v>
      </c>
      <c r="E56" s="5">
        <v>2</v>
      </c>
      <c r="F56" s="5" t="s">
        <v>30</v>
      </c>
      <c r="K56" t="s">
        <v>237</v>
      </c>
      <c r="AA56" t="s">
        <v>137</v>
      </c>
      <c r="AB56" s="2">
        <v>44029.58184027778</v>
      </c>
      <c r="AC56" t="s">
        <v>133</v>
      </c>
      <c r="AD56" s="2">
        <v>44029.58184027778</v>
      </c>
      <c r="AE56" t="s">
        <v>133</v>
      </c>
    </row>
    <row r="57" spans="1:31" x14ac:dyDescent="0.25">
      <c r="A57" s="7">
        <v>26</v>
      </c>
      <c r="B57" s="6">
        <v>44029</v>
      </c>
      <c r="C57" s="4">
        <f t="shared" si="1"/>
        <v>44029.304548611115</v>
      </c>
      <c r="D57" t="s">
        <v>71</v>
      </c>
      <c r="E57" s="5">
        <v>25</v>
      </c>
      <c r="F57" s="5" t="s">
        <v>30</v>
      </c>
      <c r="K57" t="s">
        <v>236</v>
      </c>
      <c r="AA57" t="s">
        <v>72</v>
      </c>
      <c r="AB57" s="2">
        <v>44029.596215277779</v>
      </c>
      <c r="AC57" t="s">
        <v>32</v>
      </c>
      <c r="AD57" s="2">
        <v>44029.596215277779</v>
      </c>
      <c r="AE57" t="s">
        <v>32</v>
      </c>
    </row>
    <row r="58" spans="1:31" x14ac:dyDescent="0.25">
      <c r="A58" s="7">
        <v>93</v>
      </c>
      <c r="B58" s="6">
        <v>44029</v>
      </c>
      <c r="C58" s="4">
        <f t="shared" si="1"/>
        <v>44029.310787037037</v>
      </c>
      <c r="D58" t="s">
        <v>71</v>
      </c>
      <c r="E58" s="5">
        <v>8</v>
      </c>
      <c r="F58" s="5" t="s">
        <v>30</v>
      </c>
      <c r="K58" t="s">
        <v>237</v>
      </c>
      <c r="AA58" t="s">
        <v>173</v>
      </c>
      <c r="AB58" s="2">
        <v>44029.602453703701</v>
      </c>
      <c r="AC58" t="s">
        <v>133</v>
      </c>
      <c r="AD58" s="2">
        <v>44029.602453703701</v>
      </c>
      <c r="AE58" t="s">
        <v>133</v>
      </c>
    </row>
    <row r="59" spans="1:31" x14ac:dyDescent="0.25">
      <c r="A59" s="7">
        <v>39</v>
      </c>
      <c r="B59" s="6">
        <v>44029</v>
      </c>
      <c r="C59" s="4">
        <f t="shared" si="1"/>
        <v>44029.313993055555</v>
      </c>
      <c r="D59" t="s">
        <v>71</v>
      </c>
      <c r="E59" s="5">
        <v>25</v>
      </c>
      <c r="F59" s="5" t="s">
        <v>92</v>
      </c>
      <c r="K59" t="s">
        <v>236</v>
      </c>
      <c r="AA59" t="s">
        <v>93</v>
      </c>
      <c r="AB59" s="2">
        <v>44029.60565972222</v>
      </c>
      <c r="AC59" t="s">
        <v>32</v>
      </c>
      <c r="AD59" s="2">
        <v>44029.606192129628</v>
      </c>
      <c r="AE59" t="s">
        <v>32</v>
      </c>
    </row>
    <row r="60" spans="1:31" x14ac:dyDescent="0.25">
      <c r="A60" s="7">
        <v>103</v>
      </c>
      <c r="B60" s="6">
        <v>44029</v>
      </c>
      <c r="C60" s="4">
        <f t="shared" si="1"/>
        <v>44029.323530092595</v>
      </c>
      <c r="D60" t="s">
        <v>71</v>
      </c>
      <c r="E60" s="5">
        <v>2</v>
      </c>
      <c r="F60" s="5" t="s">
        <v>30</v>
      </c>
      <c r="K60" t="s">
        <v>237</v>
      </c>
      <c r="AA60" t="s">
        <v>184</v>
      </c>
      <c r="AB60" s="2">
        <v>44029.61519675926</v>
      </c>
      <c r="AC60" t="s">
        <v>133</v>
      </c>
      <c r="AD60" s="2">
        <v>44029.61519675926</v>
      </c>
      <c r="AE60" t="s">
        <v>133</v>
      </c>
    </row>
    <row r="61" spans="1:31" x14ac:dyDescent="0.25">
      <c r="A61" s="7">
        <v>78</v>
      </c>
      <c r="B61" s="6">
        <v>44029</v>
      </c>
      <c r="C61" s="4">
        <f t="shared" si="1"/>
        <v>44029.298113425939</v>
      </c>
      <c r="D61" t="s">
        <v>103</v>
      </c>
      <c r="E61" s="5">
        <v>1</v>
      </c>
      <c r="F61" s="5" t="s">
        <v>30</v>
      </c>
      <c r="K61" t="s">
        <v>237</v>
      </c>
      <c r="AA61" t="s">
        <v>150</v>
      </c>
      <c r="AB61" s="2">
        <v>44029.589780092603</v>
      </c>
      <c r="AC61" t="s">
        <v>133</v>
      </c>
      <c r="AD61" s="2">
        <v>44029.589780092603</v>
      </c>
      <c r="AE61" t="s">
        <v>133</v>
      </c>
    </row>
    <row r="62" spans="1:31" x14ac:dyDescent="0.25">
      <c r="A62" s="7">
        <v>48</v>
      </c>
      <c r="B62" s="6">
        <v>44029</v>
      </c>
      <c r="C62" s="4">
        <f t="shared" si="1"/>
        <v>44029.320034722223</v>
      </c>
      <c r="D62" t="s">
        <v>103</v>
      </c>
      <c r="E62" s="5">
        <v>3</v>
      </c>
      <c r="F62" s="5" t="s">
        <v>30</v>
      </c>
      <c r="K62" t="s">
        <v>236</v>
      </c>
      <c r="AA62" t="s">
        <v>104</v>
      </c>
      <c r="AB62" s="2">
        <v>44029.611701388887</v>
      </c>
      <c r="AC62" t="s">
        <v>32</v>
      </c>
      <c r="AD62" s="2">
        <v>44029.611701388887</v>
      </c>
      <c r="AE62" t="s">
        <v>32</v>
      </c>
    </row>
    <row r="63" spans="1:31" x14ac:dyDescent="0.25">
      <c r="A63" s="7">
        <v>58</v>
      </c>
      <c r="B63" s="6">
        <v>44029</v>
      </c>
      <c r="C63" s="4">
        <f t="shared" si="1"/>
        <v>44029.335995370369</v>
      </c>
      <c r="D63" t="s">
        <v>103</v>
      </c>
      <c r="E63" s="5">
        <v>1</v>
      </c>
      <c r="F63" s="5" t="s">
        <v>30</v>
      </c>
      <c r="K63" t="s">
        <v>236</v>
      </c>
      <c r="AA63" t="s">
        <v>120</v>
      </c>
      <c r="AB63" s="2">
        <v>44029.627662037034</v>
      </c>
      <c r="AC63" t="s">
        <v>32</v>
      </c>
      <c r="AD63" s="2">
        <v>44029.627662037034</v>
      </c>
      <c r="AE63" t="s">
        <v>32</v>
      </c>
    </row>
    <row r="64" spans="1:31" x14ac:dyDescent="0.25">
      <c r="A64" s="7">
        <v>61</v>
      </c>
      <c r="B64" s="6">
        <v>44029</v>
      </c>
      <c r="C64" s="4">
        <f t="shared" si="1"/>
        <v>44029.338298611103</v>
      </c>
      <c r="D64" t="s">
        <v>103</v>
      </c>
      <c r="E64" s="5">
        <v>1</v>
      </c>
      <c r="F64" s="5" t="s">
        <v>30</v>
      </c>
      <c r="K64" t="s">
        <v>236</v>
      </c>
      <c r="AA64" t="s">
        <v>123</v>
      </c>
      <c r="AB64" s="2">
        <v>44029.629965277767</v>
      </c>
      <c r="AC64" t="s">
        <v>32</v>
      </c>
      <c r="AD64" s="2">
        <v>44029.629965277767</v>
      </c>
      <c r="AE64" t="s">
        <v>32</v>
      </c>
    </row>
    <row r="65" spans="1:31" x14ac:dyDescent="0.25">
      <c r="A65" s="7">
        <v>142</v>
      </c>
      <c r="B65" s="6">
        <v>44029</v>
      </c>
      <c r="C65" s="4">
        <f t="shared" si="1"/>
        <v>44029.363391203704</v>
      </c>
      <c r="D65" t="s">
        <v>103</v>
      </c>
      <c r="E65" s="5">
        <v>2</v>
      </c>
      <c r="F65" s="5" t="s">
        <v>30</v>
      </c>
      <c r="I65" t="s">
        <v>167</v>
      </c>
      <c r="K65" t="s">
        <v>237</v>
      </c>
      <c r="AA65" t="s">
        <v>227</v>
      </c>
      <c r="AB65" s="2">
        <v>44029.655057870368</v>
      </c>
      <c r="AC65" t="s">
        <v>133</v>
      </c>
      <c r="AD65" s="2">
        <v>44029.658043981479</v>
      </c>
      <c r="AE65" t="s">
        <v>133</v>
      </c>
    </row>
    <row r="66" spans="1:31" x14ac:dyDescent="0.25">
      <c r="A66" s="7">
        <v>9</v>
      </c>
      <c r="B66" s="6">
        <v>44029</v>
      </c>
      <c r="C66" s="4">
        <f t="shared" ref="C66:C97" si="2">AB66-(7/24)</f>
        <v>44029.293020833335</v>
      </c>
      <c r="D66" t="s">
        <v>45</v>
      </c>
      <c r="E66" s="5">
        <v>8</v>
      </c>
      <c r="F66" s="5" t="s">
        <v>30</v>
      </c>
      <c r="K66" t="s">
        <v>236</v>
      </c>
      <c r="AA66" t="s">
        <v>46</v>
      </c>
      <c r="AB66" s="2">
        <v>44029.584687499999</v>
      </c>
      <c r="AC66" t="s">
        <v>32</v>
      </c>
      <c r="AD66" s="2">
        <v>44029.586192129631</v>
      </c>
      <c r="AE66" t="s">
        <v>32</v>
      </c>
    </row>
    <row r="67" spans="1:31" x14ac:dyDescent="0.25">
      <c r="A67" s="7">
        <v>23</v>
      </c>
      <c r="B67" s="6">
        <v>44029</v>
      </c>
      <c r="C67" s="4">
        <f t="shared" si="2"/>
        <v>44029.301979166667</v>
      </c>
      <c r="D67" t="s">
        <v>45</v>
      </c>
      <c r="E67" s="5">
        <v>4</v>
      </c>
      <c r="F67" s="5" t="s">
        <v>30</v>
      </c>
      <c r="K67" t="s">
        <v>236</v>
      </c>
      <c r="AA67" t="s">
        <v>68</v>
      </c>
      <c r="AB67" s="2">
        <v>44029.593645833331</v>
      </c>
      <c r="AC67" t="s">
        <v>32</v>
      </c>
      <c r="AD67" s="2">
        <v>44029.593645833331</v>
      </c>
      <c r="AE67" t="s">
        <v>32</v>
      </c>
    </row>
    <row r="68" spans="1:31" x14ac:dyDescent="0.25">
      <c r="A68" s="7">
        <v>24</v>
      </c>
      <c r="B68" s="6">
        <v>44029</v>
      </c>
      <c r="C68" s="4">
        <f t="shared" si="2"/>
        <v>44029.302442129629</v>
      </c>
      <c r="D68" t="s">
        <v>45</v>
      </c>
      <c r="E68" s="5">
        <v>4</v>
      </c>
      <c r="F68" s="5" t="s">
        <v>30</v>
      </c>
      <c r="K68" t="s">
        <v>236</v>
      </c>
      <c r="AA68" t="s">
        <v>69</v>
      </c>
      <c r="AB68" s="2">
        <v>44029.594108796293</v>
      </c>
      <c r="AC68" t="s">
        <v>32</v>
      </c>
      <c r="AD68" s="2">
        <v>44029.594108796293</v>
      </c>
      <c r="AE68" t="s">
        <v>32</v>
      </c>
    </row>
    <row r="69" spans="1:31" x14ac:dyDescent="0.25">
      <c r="A69" s="7">
        <v>104</v>
      </c>
      <c r="B69" s="6">
        <v>44029</v>
      </c>
      <c r="C69" s="4">
        <f t="shared" si="2"/>
        <v>44029.324027777773</v>
      </c>
      <c r="D69" t="s">
        <v>45</v>
      </c>
      <c r="E69" s="5">
        <v>1</v>
      </c>
      <c r="F69" s="5" t="s">
        <v>30</v>
      </c>
      <c r="G69" t="s">
        <v>160</v>
      </c>
      <c r="K69" t="s">
        <v>237</v>
      </c>
      <c r="AA69" t="s">
        <v>185</v>
      </c>
      <c r="AB69" s="2">
        <v>44029.615694444437</v>
      </c>
      <c r="AC69" t="s">
        <v>133</v>
      </c>
      <c r="AD69" s="2">
        <v>44029.615694444437</v>
      </c>
      <c r="AE69" t="s">
        <v>133</v>
      </c>
    </row>
    <row r="70" spans="1:31" x14ac:dyDescent="0.25">
      <c r="A70" s="7">
        <v>134</v>
      </c>
      <c r="B70" s="6">
        <v>44029</v>
      </c>
      <c r="C70" s="4">
        <f t="shared" si="2"/>
        <v>44029.357361111113</v>
      </c>
      <c r="D70" t="s">
        <v>45</v>
      </c>
      <c r="E70" s="5">
        <v>2</v>
      </c>
      <c r="F70" s="5" t="s">
        <v>30</v>
      </c>
      <c r="K70" t="s">
        <v>237</v>
      </c>
      <c r="AA70" t="s">
        <v>218</v>
      </c>
      <c r="AB70" s="2">
        <v>44029.649027777778</v>
      </c>
      <c r="AC70" t="s">
        <v>133</v>
      </c>
      <c r="AD70" s="2">
        <v>44029.649027777778</v>
      </c>
      <c r="AE70" t="s">
        <v>133</v>
      </c>
    </row>
    <row r="71" spans="1:31" x14ac:dyDescent="0.25">
      <c r="A71" s="7">
        <v>88</v>
      </c>
      <c r="B71" s="6">
        <v>44029</v>
      </c>
      <c r="C71" s="4">
        <f t="shared" si="2"/>
        <v>44029.304907407408</v>
      </c>
      <c r="D71" t="s">
        <v>165</v>
      </c>
      <c r="E71" s="5">
        <v>1</v>
      </c>
      <c r="F71" s="5" t="s">
        <v>30</v>
      </c>
      <c r="K71" t="s">
        <v>237</v>
      </c>
      <c r="AA71" t="s">
        <v>166</v>
      </c>
      <c r="AB71" s="2">
        <v>44029.596574074072</v>
      </c>
      <c r="AC71" t="s">
        <v>133</v>
      </c>
      <c r="AD71" s="2">
        <v>44029.596574074072</v>
      </c>
      <c r="AE71" t="s">
        <v>133</v>
      </c>
    </row>
    <row r="72" spans="1:31" x14ac:dyDescent="0.25">
      <c r="A72" s="7">
        <v>27</v>
      </c>
      <c r="B72" s="6">
        <v>44029</v>
      </c>
      <c r="C72" s="4">
        <f t="shared" si="2"/>
        <v>44029.305428240754</v>
      </c>
      <c r="D72" t="s">
        <v>73</v>
      </c>
      <c r="E72" s="5">
        <v>1</v>
      </c>
      <c r="F72" s="5" t="s">
        <v>30</v>
      </c>
      <c r="J72" t="s">
        <v>235</v>
      </c>
      <c r="K72" t="s">
        <v>236</v>
      </c>
      <c r="AA72" t="s">
        <v>74</v>
      </c>
      <c r="AB72" s="2">
        <v>44029.597094907418</v>
      </c>
      <c r="AC72" t="s">
        <v>32</v>
      </c>
      <c r="AD72" s="2">
        <v>44029.597094907418</v>
      </c>
      <c r="AE72" t="s">
        <v>32</v>
      </c>
    </row>
    <row r="73" spans="1:31" x14ac:dyDescent="0.25">
      <c r="A73" s="7">
        <v>138</v>
      </c>
      <c r="B73" s="6">
        <v>44029</v>
      </c>
      <c r="C73" s="4">
        <f t="shared" si="2"/>
        <v>44029.359456018523</v>
      </c>
      <c r="D73" t="s">
        <v>222</v>
      </c>
      <c r="E73" s="5">
        <v>3</v>
      </c>
      <c r="F73" s="5" t="s">
        <v>30</v>
      </c>
      <c r="K73" t="s">
        <v>237</v>
      </c>
      <c r="AA73" t="s">
        <v>223</v>
      </c>
      <c r="AB73" s="2">
        <v>44029.651122685187</v>
      </c>
      <c r="AC73" t="s">
        <v>133</v>
      </c>
      <c r="AD73" s="2">
        <v>44029.651736111111</v>
      </c>
      <c r="AE73" t="s">
        <v>133</v>
      </c>
    </row>
    <row r="74" spans="1:31" x14ac:dyDescent="0.25">
      <c r="A74" s="7">
        <v>132</v>
      </c>
      <c r="B74" s="6">
        <v>44029</v>
      </c>
      <c r="C74" s="4">
        <f t="shared" si="2"/>
        <v>44029.357106481482</v>
      </c>
      <c r="D74" t="s">
        <v>215</v>
      </c>
      <c r="E74" s="5">
        <v>1</v>
      </c>
      <c r="F74" s="5" t="s">
        <v>30</v>
      </c>
      <c r="K74" t="s">
        <v>237</v>
      </c>
      <c r="AA74" t="s">
        <v>216</v>
      </c>
      <c r="AB74" s="2">
        <v>44029.648773148147</v>
      </c>
      <c r="AC74" t="s">
        <v>133</v>
      </c>
      <c r="AD74" s="2">
        <v>44029.648773148147</v>
      </c>
      <c r="AE74" t="s">
        <v>133</v>
      </c>
    </row>
    <row r="75" spans="1:31" x14ac:dyDescent="0.25">
      <c r="A75" s="7">
        <v>38</v>
      </c>
      <c r="B75" s="6">
        <v>44029</v>
      </c>
      <c r="C75" s="4">
        <f t="shared" si="2"/>
        <v>44029.310347222228</v>
      </c>
      <c r="D75" t="s">
        <v>90</v>
      </c>
      <c r="E75" s="5">
        <v>29</v>
      </c>
      <c r="F75" s="5" t="s">
        <v>30</v>
      </c>
      <c r="K75" t="s">
        <v>236</v>
      </c>
      <c r="AA75" t="s">
        <v>91</v>
      </c>
      <c r="AB75" s="2">
        <v>44029.602013888893</v>
      </c>
      <c r="AC75" t="s">
        <v>32</v>
      </c>
      <c r="AD75" s="2">
        <v>44029.602013888893</v>
      </c>
      <c r="AE75" t="s">
        <v>32</v>
      </c>
    </row>
    <row r="76" spans="1:31" x14ac:dyDescent="0.25">
      <c r="A76" s="7">
        <v>11</v>
      </c>
      <c r="B76" s="6">
        <v>44029</v>
      </c>
      <c r="C76" s="4">
        <f t="shared" si="2"/>
        <v>44029.294976851859</v>
      </c>
      <c r="D76" t="s">
        <v>49</v>
      </c>
      <c r="E76" s="5">
        <v>1</v>
      </c>
      <c r="F76" s="5" t="s">
        <v>30</v>
      </c>
      <c r="K76" t="s">
        <v>236</v>
      </c>
      <c r="AA76" t="s">
        <v>50</v>
      </c>
      <c r="AB76" s="2">
        <v>44029.586643518523</v>
      </c>
      <c r="AC76" t="s">
        <v>32</v>
      </c>
      <c r="AD76" s="2">
        <v>44029.586643518523</v>
      </c>
      <c r="AE76" t="s">
        <v>32</v>
      </c>
    </row>
    <row r="77" spans="1:31" x14ac:dyDescent="0.25">
      <c r="A77" s="7">
        <v>30</v>
      </c>
      <c r="B77" s="6">
        <v>44029</v>
      </c>
      <c r="C77" s="4">
        <f t="shared" si="2"/>
        <v>44029.306481481486</v>
      </c>
      <c r="D77" t="s">
        <v>49</v>
      </c>
      <c r="E77" s="5">
        <v>1</v>
      </c>
      <c r="F77" s="5" t="s">
        <v>30</v>
      </c>
      <c r="K77" t="s">
        <v>236</v>
      </c>
      <c r="AA77" t="s">
        <v>79</v>
      </c>
      <c r="AB77" s="2">
        <v>44029.59814814815</v>
      </c>
      <c r="AC77" t="s">
        <v>32</v>
      </c>
      <c r="AD77" s="2">
        <v>44029.59814814815</v>
      </c>
      <c r="AE77" t="s">
        <v>32</v>
      </c>
    </row>
    <row r="78" spans="1:31" x14ac:dyDescent="0.25">
      <c r="A78" s="7">
        <v>89</v>
      </c>
      <c r="B78" s="6">
        <v>44029</v>
      </c>
      <c r="C78" s="4">
        <f t="shared" si="2"/>
        <v>44029.308969907419</v>
      </c>
      <c r="D78" t="s">
        <v>49</v>
      </c>
      <c r="E78" s="5">
        <v>1</v>
      </c>
      <c r="F78" s="5" t="s">
        <v>30</v>
      </c>
      <c r="I78" t="s">
        <v>167</v>
      </c>
      <c r="K78" t="s">
        <v>237</v>
      </c>
      <c r="AA78" t="s">
        <v>168</v>
      </c>
      <c r="AB78" s="2">
        <v>44029.600636574083</v>
      </c>
      <c r="AC78" t="s">
        <v>133</v>
      </c>
      <c r="AD78" s="2">
        <v>44029.600636574083</v>
      </c>
      <c r="AE78" t="s">
        <v>133</v>
      </c>
    </row>
    <row r="79" spans="1:31" x14ac:dyDescent="0.25">
      <c r="A79" s="7">
        <v>90</v>
      </c>
      <c r="B79" s="6">
        <v>44029</v>
      </c>
      <c r="C79" s="4">
        <f t="shared" si="2"/>
        <v>44029.309479166666</v>
      </c>
      <c r="D79" t="s">
        <v>49</v>
      </c>
      <c r="E79" s="5">
        <v>1</v>
      </c>
      <c r="F79" s="5" t="s">
        <v>30</v>
      </c>
      <c r="K79" t="s">
        <v>237</v>
      </c>
      <c r="AA79" t="s">
        <v>169</v>
      </c>
      <c r="AB79" s="2">
        <v>44029.601145833331</v>
      </c>
      <c r="AC79" t="s">
        <v>133</v>
      </c>
      <c r="AD79" s="2">
        <v>44029.601145833331</v>
      </c>
      <c r="AE79" t="s">
        <v>133</v>
      </c>
    </row>
    <row r="80" spans="1:31" x14ac:dyDescent="0.25">
      <c r="A80" s="7">
        <v>121</v>
      </c>
      <c r="B80" s="6">
        <v>44029</v>
      </c>
      <c r="C80" s="4">
        <f t="shared" si="2"/>
        <v>44029.340694444458</v>
      </c>
      <c r="D80" t="s">
        <v>49</v>
      </c>
      <c r="E80" s="5">
        <v>1</v>
      </c>
      <c r="F80" s="5" t="s">
        <v>30</v>
      </c>
      <c r="K80" t="s">
        <v>237</v>
      </c>
      <c r="AA80" t="s">
        <v>204</v>
      </c>
      <c r="AB80" s="2">
        <v>44029.632361111122</v>
      </c>
      <c r="AC80" t="s">
        <v>133</v>
      </c>
      <c r="AD80" s="2">
        <v>44029.632361111122</v>
      </c>
      <c r="AE80" t="s">
        <v>133</v>
      </c>
    </row>
    <row r="81" spans="1:31" x14ac:dyDescent="0.25">
      <c r="A81" s="7">
        <v>122</v>
      </c>
      <c r="B81" s="6">
        <v>44029</v>
      </c>
      <c r="C81" s="4">
        <f t="shared" si="2"/>
        <v>44029.340821759259</v>
      </c>
      <c r="D81" t="s">
        <v>49</v>
      </c>
      <c r="E81" s="5">
        <v>1</v>
      </c>
      <c r="F81" s="5" t="s">
        <v>30</v>
      </c>
      <c r="K81" t="s">
        <v>237</v>
      </c>
      <c r="AA81" t="s">
        <v>205</v>
      </c>
      <c r="AB81" s="2">
        <v>44029.632488425923</v>
      </c>
      <c r="AC81" t="s">
        <v>133</v>
      </c>
      <c r="AD81" s="2">
        <v>44029.632488425923</v>
      </c>
      <c r="AE81" t="s">
        <v>133</v>
      </c>
    </row>
    <row r="82" spans="1:31" x14ac:dyDescent="0.25">
      <c r="A82" s="7">
        <v>71</v>
      </c>
      <c r="B82" s="6">
        <v>44029</v>
      </c>
      <c r="C82" s="4">
        <f t="shared" si="2"/>
        <v>44029.291041666678</v>
      </c>
      <c r="D82" t="s">
        <v>63</v>
      </c>
      <c r="E82" s="5">
        <v>4</v>
      </c>
      <c r="F82" s="5" t="s">
        <v>30</v>
      </c>
      <c r="K82" t="s">
        <v>237</v>
      </c>
      <c r="AA82" t="s">
        <v>138</v>
      </c>
      <c r="AB82" s="2">
        <v>44029.582708333342</v>
      </c>
      <c r="AC82" t="s">
        <v>133</v>
      </c>
      <c r="AD82" s="2">
        <v>44029.582708333342</v>
      </c>
      <c r="AE82" t="s">
        <v>133</v>
      </c>
    </row>
    <row r="83" spans="1:31" x14ac:dyDescent="0.25">
      <c r="A83" s="7">
        <v>20</v>
      </c>
      <c r="B83" s="6">
        <v>44029</v>
      </c>
      <c r="C83" s="4">
        <f t="shared" si="2"/>
        <v>44029.300219907418</v>
      </c>
      <c r="D83" t="s">
        <v>63</v>
      </c>
      <c r="E83" s="5">
        <v>2</v>
      </c>
      <c r="F83" s="5" t="s">
        <v>30</v>
      </c>
      <c r="K83" t="s">
        <v>236</v>
      </c>
      <c r="AA83" t="s">
        <v>64</v>
      </c>
      <c r="AB83" s="2">
        <v>44029.591886574082</v>
      </c>
      <c r="AC83" t="s">
        <v>32</v>
      </c>
      <c r="AD83" s="2">
        <v>44029.591886574082</v>
      </c>
      <c r="AE83" t="s">
        <v>32</v>
      </c>
    </row>
    <row r="84" spans="1:31" x14ac:dyDescent="0.25">
      <c r="A84" s="7">
        <v>21</v>
      </c>
      <c r="B84" s="6">
        <v>44029</v>
      </c>
      <c r="C84" s="4">
        <f t="shared" si="2"/>
        <v>44029.300682870373</v>
      </c>
      <c r="D84" t="s">
        <v>63</v>
      </c>
      <c r="E84" s="5">
        <v>3</v>
      </c>
      <c r="F84" s="5" t="s">
        <v>30</v>
      </c>
      <c r="K84" t="s">
        <v>236</v>
      </c>
      <c r="AA84" t="s">
        <v>65</v>
      </c>
      <c r="AB84" s="2">
        <v>44029.592349537037</v>
      </c>
      <c r="AC84" t="s">
        <v>32</v>
      </c>
      <c r="AD84" s="2">
        <v>44029.592349537037</v>
      </c>
      <c r="AE84" t="s">
        <v>32</v>
      </c>
    </row>
    <row r="85" spans="1:31" x14ac:dyDescent="0.25">
      <c r="A85" s="7">
        <v>81</v>
      </c>
      <c r="B85" s="6">
        <v>44029</v>
      </c>
      <c r="C85" s="4">
        <f t="shared" si="2"/>
        <v>44029.302384259259</v>
      </c>
      <c r="D85" t="s">
        <v>63</v>
      </c>
      <c r="E85" s="5">
        <v>2</v>
      </c>
      <c r="F85" s="5" t="s">
        <v>30</v>
      </c>
      <c r="K85" t="s">
        <v>237</v>
      </c>
      <c r="AA85" t="s">
        <v>154</v>
      </c>
      <c r="AB85" s="2">
        <v>44029.594050925924</v>
      </c>
      <c r="AC85" t="s">
        <v>133</v>
      </c>
      <c r="AD85" s="2">
        <v>44029.594050925924</v>
      </c>
      <c r="AE85" t="s">
        <v>133</v>
      </c>
    </row>
    <row r="86" spans="1:31" x14ac:dyDescent="0.25">
      <c r="A86" s="7">
        <v>34</v>
      </c>
      <c r="B86" s="6">
        <v>44029</v>
      </c>
      <c r="C86" s="4">
        <f t="shared" si="2"/>
        <v>44029.308796296296</v>
      </c>
      <c r="D86" t="s">
        <v>63</v>
      </c>
      <c r="E86" s="5">
        <v>2</v>
      </c>
      <c r="F86" s="5" t="s">
        <v>30</v>
      </c>
      <c r="K86" t="s">
        <v>236</v>
      </c>
      <c r="AA86" t="s">
        <v>84</v>
      </c>
      <c r="AB86" s="2">
        <v>44029.600462962961</v>
      </c>
      <c r="AC86" t="s">
        <v>32</v>
      </c>
      <c r="AD86" s="2">
        <v>44029.600462962961</v>
      </c>
      <c r="AE86" t="s">
        <v>32</v>
      </c>
    </row>
    <row r="87" spans="1:31" x14ac:dyDescent="0.25">
      <c r="A87" s="7">
        <v>96</v>
      </c>
      <c r="B87" s="6">
        <v>44029</v>
      </c>
      <c r="C87" s="4">
        <f t="shared" si="2"/>
        <v>44029.314236111124</v>
      </c>
      <c r="D87" t="s">
        <v>63</v>
      </c>
      <c r="E87" s="5">
        <v>7</v>
      </c>
      <c r="F87" s="5" t="s">
        <v>30</v>
      </c>
      <c r="K87" t="s">
        <v>237</v>
      </c>
      <c r="AA87" t="s">
        <v>176</v>
      </c>
      <c r="AB87" s="2">
        <v>44029.605902777788</v>
      </c>
      <c r="AC87" t="s">
        <v>133</v>
      </c>
      <c r="AD87" s="2">
        <v>44029.605902777788</v>
      </c>
      <c r="AE87" t="s">
        <v>133</v>
      </c>
    </row>
    <row r="88" spans="1:31" x14ac:dyDescent="0.25">
      <c r="A88" s="7">
        <v>99</v>
      </c>
      <c r="B88" s="6">
        <v>44029</v>
      </c>
      <c r="C88" s="4">
        <f t="shared" si="2"/>
        <v>44029.320185185185</v>
      </c>
      <c r="D88" t="s">
        <v>63</v>
      </c>
      <c r="E88" s="5">
        <v>5</v>
      </c>
      <c r="F88" s="5" t="s">
        <v>30</v>
      </c>
      <c r="K88" t="s">
        <v>237</v>
      </c>
      <c r="AA88" t="s">
        <v>180</v>
      </c>
      <c r="AB88" s="2">
        <v>44029.611851851849</v>
      </c>
      <c r="AC88" t="s">
        <v>133</v>
      </c>
      <c r="AD88" s="2">
        <v>44029.612581018519</v>
      </c>
      <c r="AE88" t="s">
        <v>133</v>
      </c>
    </row>
    <row r="89" spans="1:31" x14ac:dyDescent="0.25">
      <c r="A89" s="7">
        <v>107</v>
      </c>
      <c r="B89" s="6">
        <v>44029</v>
      </c>
      <c r="C89" s="4">
        <f t="shared" si="2"/>
        <v>44029.327129629623</v>
      </c>
      <c r="D89" t="s">
        <v>63</v>
      </c>
      <c r="E89" s="5">
        <v>5</v>
      </c>
      <c r="F89" s="5" t="s">
        <v>30</v>
      </c>
      <c r="K89" t="s">
        <v>237</v>
      </c>
      <c r="AA89" t="s">
        <v>189</v>
      </c>
      <c r="AB89" s="2">
        <v>44029.618796296287</v>
      </c>
      <c r="AC89" t="s">
        <v>133</v>
      </c>
      <c r="AD89" s="2">
        <v>44029.618796296287</v>
      </c>
      <c r="AE89" t="s">
        <v>133</v>
      </c>
    </row>
    <row r="90" spans="1:31" x14ac:dyDescent="0.25">
      <c r="A90" s="7">
        <v>110</v>
      </c>
      <c r="B90" s="6">
        <v>44029</v>
      </c>
      <c r="C90" s="4">
        <f t="shared" si="2"/>
        <v>44029.329780092594</v>
      </c>
      <c r="D90" t="s">
        <v>63</v>
      </c>
      <c r="E90" s="5">
        <v>3</v>
      </c>
      <c r="F90" s="5" t="s">
        <v>30</v>
      </c>
      <c r="K90" t="s">
        <v>237</v>
      </c>
      <c r="AA90" t="s">
        <v>192</v>
      </c>
      <c r="AB90" s="2">
        <v>44029.621446759258</v>
      </c>
      <c r="AC90" t="s">
        <v>133</v>
      </c>
      <c r="AD90" s="2">
        <v>44029.621446759258</v>
      </c>
      <c r="AE90" t="s">
        <v>133</v>
      </c>
    </row>
    <row r="91" spans="1:31" x14ac:dyDescent="0.25">
      <c r="A91" s="7">
        <v>56</v>
      </c>
      <c r="B91" s="6">
        <v>44029</v>
      </c>
      <c r="C91" s="4">
        <f t="shared" si="2"/>
        <v>44029.331446759279</v>
      </c>
      <c r="D91" t="s">
        <v>63</v>
      </c>
      <c r="E91" s="5">
        <v>4</v>
      </c>
      <c r="F91" s="5" t="s">
        <v>30</v>
      </c>
      <c r="K91" t="s">
        <v>236</v>
      </c>
      <c r="AA91" t="s">
        <v>118</v>
      </c>
      <c r="AB91" s="2">
        <v>44029.623113425943</v>
      </c>
      <c r="AC91" t="s">
        <v>32</v>
      </c>
      <c r="AD91" s="2">
        <v>44029.623113425943</v>
      </c>
      <c r="AE91" t="s">
        <v>32</v>
      </c>
    </row>
    <row r="92" spans="1:31" x14ac:dyDescent="0.25">
      <c r="A92" s="7">
        <v>60</v>
      </c>
      <c r="B92" s="6">
        <v>44029</v>
      </c>
      <c r="C92" s="4">
        <f t="shared" si="2"/>
        <v>44029.337800925925</v>
      </c>
      <c r="D92" t="s">
        <v>63</v>
      </c>
      <c r="E92" s="5">
        <v>2</v>
      </c>
      <c r="F92" s="5" t="s">
        <v>30</v>
      </c>
      <c r="K92" t="s">
        <v>236</v>
      </c>
      <c r="AA92" t="s">
        <v>122</v>
      </c>
      <c r="AB92" s="2">
        <v>44029.629467592589</v>
      </c>
      <c r="AC92" t="s">
        <v>32</v>
      </c>
      <c r="AD92" s="2">
        <v>44029.629467592589</v>
      </c>
      <c r="AE92" t="s">
        <v>32</v>
      </c>
    </row>
    <row r="93" spans="1:31" x14ac:dyDescent="0.25">
      <c r="A93" s="7">
        <v>65</v>
      </c>
      <c r="B93" s="6">
        <v>44029</v>
      </c>
      <c r="C93" s="4">
        <f t="shared" si="2"/>
        <v>44029.364120370374</v>
      </c>
      <c r="D93" t="s">
        <v>128</v>
      </c>
      <c r="E93" s="5">
        <v>1</v>
      </c>
      <c r="F93" s="5" t="s">
        <v>30</v>
      </c>
      <c r="K93" t="s">
        <v>236</v>
      </c>
      <c r="AA93" t="s">
        <v>129</v>
      </c>
      <c r="AB93" s="2">
        <v>44029.655787037038</v>
      </c>
      <c r="AC93" t="s">
        <v>32</v>
      </c>
      <c r="AD93" s="2">
        <v>44029.655787037038</v>
      </c>
      <c r="AE93" t="s">
        <v>32</v>
      </c>
    </row>
    <row r="94" spans="1:31" x14ac:dyDescent="0.25">
      <c r="A94" s="7">
        <v>68</v>
      </c>
      <c r="B94" s="6">
        <v>44029</v>
      </c>
      <c r="C94" s="4">
        <f t="shared" si="2"/>
        <v>44029.289259259269</v>
      </c>
      <c r="D94" t="s">
        <v>134</v>
      </c>
      <c r="E94" s="5">
        <v>1</v>
      </c>
      <c r="F94" s="5" t="s">
        <v>30</v>
      </c>
      <c r="K94" t="s">
        <v>237</v>
      </c>
      <c r="AA94" t="s">
        <v>135</v>
      </c>
      <c r="AB94" s="2">
        <v>44029.580925925933</v>
      </c>
      <c r="AC94" t="s">
        <v>133</v>
      </c>
      <c r="AD94" s="2">
        <v>44029.580925925933</v>
      </c>
      <c r="AE94" t="s">
        <v>133</v>
      </c>
    </row>
    <row r="95" spans="1:31" x14ac:dyDescent="0.25">
      <c r="A95" s="7">
        <v>73</v>
      </c>
      <c r="B95" s="6">
        <v>44029</v>
      </c>
      <c r="C95" s="4">
        <f t="shared" si="2"/>
        <v>44029.291388888909</v>
      </c>
      <c r="D95" t="s">
        <v>134</v>
      </c>
      <c r="E95" s="5">
        <v>1</v>
      </c>
      <c r="F95" s="5" t="s">
        <v>30</v>
      </c>
      <c r="K95" t="s">
        <v>237</v>
      </c>
      <c r="AA95" t="s">
        <v>141</v>
      </c>
      <c r="AB95" s="2">
        <v>44029.583055555573</v>
      </c>
      <c r="AC95" t="s">
        <v>133</v>
      </c>
      <c r="AD95" s="2">
        <v>44029.583055555573</v>
      </c>
      <c r="AE95" t="s">
        <v>133</v>
      </c>
    </row>
    <row r="96" spans="1:31" x14ac:dyDescent="0.25">
      <c r="A96" s="7">
        <v>102</v>
      </c>
      <c r="B96" s="6">
        <v>44029</v>
      </c>
      <c r="C96" s="4">
        <f t="shared" si="2"/>
        <v>44029.322546296309</v>
      </c>
      <c r="D96" t="s">
        <v>110</v>
      </c>
      <c r="E96" s="5">
        <v>2</v>
      </c>
      <c r="F96" s="5" t="s">
        <v>30</v>
      </c>
      <c r="K96" t="s">
        <v>237</v>
      </c>
      <c r="AA96" t="s">
        <v>183</v>
      </c>
      <c r="AB96" s="2">
        <v>44029.614212962973</v>
      </c>
      <c r="AC96" t="s">
        <v>133</v>
      </c>
      <c r="AD96" s="2">
        <v>44029.614212962973</v>
      </c>
      <c r="AE96" t="s">
        <v>133</v>
      </c>
    </row>
    <row r="97" spans="1:31" x14ac:dyDescent="0.25">
      <c r="A97" s="7">
        <v>52</v>
      </c>
      <c r="B97" s="6">
        <v>44029</v>
      </c>
      <c r="C97" s="4">
        <f t="shared" si="2"/>
        <v>44029.328611111116</v>
      </c>
      <c r="D97" t="s">
        <v>110</v>
      </c>
      <c r="E97" s="5">
        <v>6</v>
      </c>
      <c r="F97" s="5" t="s">
        <v>30</v>
      </c>
      <c r="K97" t="s">
        <v>236</v>
      </c>
      <c r="AA97" t="s">
        <v>111</v>
      </c>
      <c r="AB97" s="2">
        <v>44029.62027777778</v>
      </c>
      <c r="AC97" t="s">
        <v>32</v>
      </c>
      <c r="AD97" s="2">
        <v>44029.62027777778</v>
      </c>
      <c r="AE97" t="s">
        <v>32</v>
      </c>
    </row>
    <row r="98" spans="1:31" x14ac:dyDescent="0.25">
      <c r="A98" s="7">
        <v>80</v>
      </c>
      <c r="B98" s="6">
        <v>44029</v>
      </c>
      <c r="C98" s="4">
        <f t="shared" ref="C98:C129" si="3">AB98-(7/24)</f>
        <v>44029.300219907418</v>
      </c>
      <c r="D98" t="s">
        <v>152</v>
      </c>
      <c r="E98" s="5">
        <v>1</v>
      </c>
      <c r="F98" s="5" t="s">
        <v>30</v>
      </c>
      <c r="K98" t="s">
        <v>237</v>
      </c>
      <c r="AA98" t="s">
        <v>153</v>
      </c>
      <c r="AB98" s="2">
        <v>44029.591886574082</v>
      </c>
      <c r="AC98" t="s">
        <v>133</v>
      </c>
      <c r="AD98" s="2">
        <v>44029.591886574082</v>
      </c>
      <c r="AE98" t="s">
        <v>133</v>
      </c>
    </row>
    <row r="99" spans="1:31" x14ac:dyDescent="0.25">
      <c r="A99" s="7">
        <v>145</v>
      </c>
      <c r="B99" s="6">
        <v>44029</v>
      </c>
      <c r="C99" s="4">
        <f t="shared" si="3"/>
        <v>44029.374942129623</v>
      </c>
      <c r="D99" t="s">
        <v>152</v>
      </c>
      <c r="E99" s="5">
        <v>1</v>
      </c>
      <c r="F99" s="5" t="s">
        <v>30</v>
      </c>
      <c r="K99" t="s">
        <v>237</v>
      </c>
      <c r="AA99" t="s">
        <v>230</v>
      </c>
      <c r="AB99" s="2">
        <v>44029.666608796288</v>
      </c>
      <c r="AC99" t="s">
        <v>133</v>
      </c>
      <c r="AD99" s="2">
        <v>44029.666608796288</v>
      </c>
      <c r="AE99" t="s">
        <v>133</v>
      </c>
    </row>
    <row r="100" spans="1:31" x14ac:dyDescent="0.25">
      <c r="A100" s="7">
        <v>43</v>
      </c>
      <c r="B100" s="6">
        <v>44029</v>
      </c>
      <c r="C100" s="4">
        <f t="shared" si="3"/>
        <v>44029.318333333336</v>
      </c>
      <c r="D100" t="s">
        <v>97</v>
      </c>
      <c r="E100" s="5">
        <v>8</v>
      </c>
      <c r="F100" s="5" t="s">
        <v>30</v>
      </c>
      <c r="K100" t="s">
        <v>236</v>
      </c>
      <c r="AA100" t="s">
        <v>98</v>
      </c>
      <c r="AB100" s="2">
        <v>44029.61</v>
      </c>
      <c r="AC100" t="s">
        <v>32</v>
      </c>
      <c r="AD100" s="2">
        <v>44029.61</v>
      </c>
      <c r="AE100" t="s">
        <v>32</v>
      </c>
    </row>
    <row r="101" spans="1:31" x14ac:dyDescent="0.25">
      <c r="A101" s="7">
        <v>45</v>
      </c>
      <c r="B101" s="6">
        <v>44029</v>
      </c>
      <c r="C101" s="4">
        <f t="shared" si="3"/>
        <v>44029.319131944445</v>
      </c>
      <c r="D101" t="s">
        <v>97</v>
      </c>
      <c r="E101" s="5">
        <v>2</v>
      </c>
      <c r="F101" s="5" t="s">
        <v>30</v>
      </c>
      <c r="K101" t="s">
        <v>236</v>
      </c>
      <c r="AA101" t="s">
        <v>100</v>
      </c>
      <c r="AB101" s="2">
        <v>44029.610798611109</v>
      </c>
      <c r="AC101" t="s">
        <v>32</v>
      </c>
      <c r="AD101" s="2">
        <v>44029.610798611109</v>
      </c>
      <c r="AE101" t="s">
        <v>32</v>
      </c>
    </row>
    <row r="102" spans="1:31" x14ac:dyDescent="0.25">
      <c r="A102" s="7">
        <v>109</v>
      </c>
      <c r="B102" s="6">
        <v>44029</v>
      </c>
      <c r="C102" s="4">
        <f t="shared" si="3"/>
        <v>44029.327581018522</v>
      </c>
      <c r="D102" t="s">
        <v>97</v>
      </c>
      <c r="E102" s="5">
        <v>3</v>
      </c>
      <c r="F102" s="5" t="s">
        <v>92</v>
      </c>
      <c r="J102" t="s">
        <v>256</v>
      </c>
      <c r="K102" t="s">
        <v>237</v>
      </c>
      <c r="AA102" t="s">
        <v>191</v>
      </c>
      <c r="AB102" s="2">
        <v>44029.619247685187</v>
      </c>
      <c r="AC102" t="s">
        <v>133</v>
      </c>
      <c r="AD102" s="2">
        <v>44029.619247685187</v>
      </c>
      <c r="AE102" t="s">
        <v>133</v>
      </c>
    </row>
    <row r="103" spans="1:31" x14ac:dyDescent="0.25">
      <c r="A103" s="7">
        <v>22</v>
      </c>
      <c r="B103" s="6">
        <v>44029</v>
      </c>
      <c r="C103" s="4">
        <f t="shared" si="3"/>
        <v>44029.301840277789</v>
      </c>
      <c r="D103" t="s">
        <v>66</v>
      </c>
      <c r="E103" s="5">
        <v>1</v>
      </c>
      <c r="F103" s="5" t="s">
        <v>30</v>
      </c>
      <c r="K103" t="s">
        <v>236</v>
      </c>
      <c r="AA103" t="s">
        <v>67</v>
      </c>
      <c r="AB103" s="2">
        <v>44029.593506944453</v>
      </c>
      <c r="AC103" t="s">
        <v>32</v>
      </c>
      <c r="AD103" s="2">
        <v>44029.593506944453</v>
      </c>
      <c r="AE103" t="s">
        <v>32</v>
      </c>
    </row>
    <row r="104" spans="1:31" x14ac:dyDescent="0.25">
      <c r="A104" s="7">
        <v>25</v>
      </c>
      <c r="B104" s="6">
        <v>44029</v>
      </c>
      <c r="C104" s="4">
        <f t="shared" si="3"/>
        <v>44029.304351851853</v>
      </c>
      <c r="D104" t="s">
        <v>66</v>
      </c>
      <c r="E104" s="5">
        <v>4</v>
      </c>
      <c r="F104" s="5" t="s">
        <v>30</v>
      </c>
      <c r="K104" t="s">
        <v>236</v>
      </c>
      <c r="AA104" t="s">
        <v>70</v>
      </c>
      <c r="AB104" s="2">
        <v>44029.596018518518</v>
      </c>
      <c r="AC104" t="s">
        <v>32</v>
      </c>
      <c r="AD104" s="2">
        <v>44029.596018518518</v>
      </c>
      <c r="AE104" t="s">
        <v>32</v>
      </c>
    </row>
    <row r="105" spans="1:31" x14ac:dyDescent="0.25">
      <c r="A105" s="7">
        <v>31</v>
      </c>
      <c r="B105" s="6">
        <v>44029</v>
      </c>
      <c r="C105" s="4">
        <f t="shared" si="3"/>
        <v>44029.306863425925</v>
      </c>
      <c r="D105" t="s">
        <v>66</v>
      </c>
      <c r="E105" s="5">
        <v>2</v>
      </c>
      <c r="F105" s="5" t="s">
        <v>30</v>
      </c>
      <c r="K105" t="s">
        <v>236</v>
      </c>
      <c r="AA105" t="s">
        <v>80</v>
      </c>
      <c r="AB105" s="2">
        <v>44029.598530092589</v>
      </c>
      <c r="AC105" t="s">
        <v>32</v>
      </c>
      <c r="AD105" s="2">
        <v>44029.598530092589</v>
      </c>
      <c r="AE105" t="s">
        <v>32</v>
      </c>
    </row>
    <row r="106" spans="1:31" x14ac:dyDescent="0.25">
      <c r="A106" s="7">
        <v>133</v>
      </c>
      <c r="B106" s="6">
        <v>44029</v>
      </c>
      <c r="C106" s="4">
        <f t="shared" si="3"/>
        <v>44029.357233796298</v>
      </c>
      <c r="D106" t="s">
        <v>66</v>
      </c>
      <c r="E106" s="5">
        <v>3</v>
      </c>
      <c r="F106" s="5" t="s">
        <v>92</v>
      </c>
      <c r="J106" t="s">
        <v>256</v>
      </c>
      <c r="K106" t="s">
        <v>237</v>
      </c>
      <c r="AA106" t="s">
        <v>217</v>
      </c>
      <c r="AB106" s="2">
        <v>44029.648900462962</v>
      </c>
      <c r="AC106" t="s">
        <v>133</v>
      </c>
      <c r="AD106" s="2">
        <v>44029.648900462962</v>
      </c>
      <c r="AE106" t="s">
        <v>133</v>
      </c>
    </row>
    <row r="107" spans="1:31" x14ac:dyDescent="0.25">
      <c r="A107" s="7">
        <v>82</v>
      </c>
      <c r="B107" s="6">
        <v>44029</v>
      </c>
      <c r="C107" s="4">
        <f t="shared" si="3"/>
        <v>44029.302511574075</v>
      </c>
      <c r="D107" t="s">
        <v>155</v>
      </c>
      <c r="E107" s="5">
        <v>1</v>
      </c>
      <c r="F107" s="5" t="s">
        <v>30</v>
      </c>
      <c r="K107" t="s">
        <v>237</v>
      </c>
      <c r="AA107" t="s">
        <v>156</v>
      </c>
      <c r="AB107" s="2">
        <v>44029.594178240739</v>
      </c>
      <c r="AC107" t="s">
        <v>133</v>
      </c>
      <c r="AD107" s="2">
        <v>44029.594178240739</v>
      </c>
      <c r="AE107" t="s">
        <v>133</v>
      </c>
    </row>
    <row r="108" spans="1:31" x14ac:dyDescent="0.25">
      <c r="A108" s="7">
        <v>115</v>
      </c>
      <c r="B108" s="6">
        <v>44029</v>
      </c>
      <c r="C108" s="4">
        <f t="shared" si="3"/>
        <v>44029.336354166662</v>
      </c>
      <c r="D108" t="s">
        <v>155</v>
      </c>
      <c r="E108" s="5">
        <v>1</v>
      </c>
      <c r="F108" s="5" t="s">
        <v>30</v>
      </c>
      <c r="K108" t="s">
        <v>237</v>
      </c>
      <c r="AA108" t="s">
        <v>198</v>
      </c>
      <c r="AB108" s="2">
        <v>44029.628020833326</v>
      </c>
      <c r="AC108" t="s">
        <v>133</v>
      </c>
      <c r="AD108" s="2">
        <v>44029.628020833326</v>
      </c>
      <c r="AE108" t="s">
        <v>133</v>
      </c>
    </row>
    <row r="109" spans="1:31" x14ac:dyDescent="0.25">
      <c r="A109" s="7">
        <v>126</v>
      </c>
      <c r="B109" s="6">
        <v>44029</v>
      </c>
      <c r="C109" s="4">
        <f t="shared" si="3"/>
        <v>44029.347199074087</v>
      </c>
      <c r="D109" t="s">
        <v>155</v>
      </c>
      <c r="E109" s="5">
        <v>1</v>
      </c>
      <c r="F109" s="5" t="s">
        <v>30</v>
      </c>
      <c r="K109" t="s">
        <v>237</v>
      </c>
      <c r="AA109" t="s">
        <v>209</v>
      </c>
      <c r="AB109" s="2">
        <v>44029.638865740751</v>
      </c>
      <c r="AC109" t="s">
        <v>133</v>
      </c>
      <c r="AD109" s="2">
        <v>44029.638865740751</v>
      </c>
      <c r="AE109" t="s">
        <v>133</v>
      </c>
    </row>
    <row r="110" spans="1:31" x14ac:dyDescent="0.25">
      <c r="A110" s="7">
        <v>75</v>
      </c>
      <c r="B110" s="6">
        <v>44029</v>
      </c>
      <c r="C110" s="4">
        <f t="shared" si="3"/>
        <v>44029.293333333335</v>
      </c>
      <c r="D110" t="s">
        <v>61</v>
      </c>
      <c r="E110" s="5">
        <v>1</v>
      </c>
      <c r="F110" s="5" t="s">
        <v>30</v>
      </c>
      <c r="K110" t="s">
        <v>237</v>
      </c>
      <c r="AA110" t="s">
        <v>145</v>
      </c>
      <c r="AB110" s="2">
        <v>44029.584999999999</v>
      </c>
      <c r="AC110" t="s">
        <v>133</v>
      </c>
      <c r="AD110" s="2">
        <v>44029.584999999999</v>
      </c>
      <c r="AE110" t="s">
        <v>133</v>
      </c>
    </row>
    <row r="111" spans="1:31" x14ac:dyDescent="0.25">
      <c r="A111" s="7">
        <v>19</v>
      </c>
      <c r="B111" s="6">
        <v>44029</v>
      </c>
      <c r="C111" s="4">
        <f t="shared" si="3"/>
        <v>44029.299722222226</v>
      </c>
      <c r="D111" t="s">
        <v>61</v>
      </c>
      <c r="E111" s="5">
        <v>2</v>
      </c>
      <c r="F111" s="5" t="s">
        <v>30</v>
      </c>
      <c r="K111" t="s">
        <v>236</v>
      </c>
      <c r="AA111" t="s">
        <v>62</v>
      </c>
      <c r="AB111" s="2">
        <v>44029.59138888889</v>
      </c>
      <c r="AC111" t="s">
        <v>32</v>
      </c>
      <c r="AD111" s="2">
        <v>44029.592534722222</v>
      </c>
      <c r="AE111" t="s">
        <v>32</v>
      </c>
    </row>
    <row r="112" spans="1:31" x14ac:dyDescent="0.25">
      <c r="A112" s="7">
        <v>87</v>
      </c>
      <c r="B112" s="6">
        <v>44029</v>
      </c>
      <c r="C112" s="4">
        <f t="shared" si="3"/>
        <v>44029.304814814815</v>
      </c>
      <c r="D112" t="s">
        <v>61</v>
      </c>
      <c r="E112" s="5">
        <v>1</v>
      </c>
      <c r="F112" s="5" t="s">
        <v>30</v>
      </c>
      <c r="K112" t="s">
        <v>237</v>
      </c>
      <c r="AA112" t="s">
        <v>164</v>
      </c>
      <c r="AB112" s="2">
        <v>44029.59648148148</v>
      </c>
      <c r="AC112" t="s">
        <v>133</v>
      </c>
      <c r="AD112" s="2">
        <v>44029.59648148148</v>
      </c>
      <c r="AE112" t="s">
        <v>133</v>
      </c>
    </row>
    <row r="113" spans="1:31" x14ac:dyDescent="0.25">
      <c r="A113" s="7">
        <v>92</v>
      </c>
      <c r="B113" s="6">
        <v>44029</v>
      </c>
      <c r="C113" s="4">
        <f t="shared" si="3"/>
        <v>44029.310312500013</v>
      </c>
      <c r="D113" t="s">
        <v>61</v>
      </c>
      <c r="E113" s="5">
        <v>2</v>
      </c>
      <c r="F113" s="5" t="s">
        <v>30</v>
      </c>
      <c r="K113" t="s">
        <v>237</v>
      </c>
      <c r="AA113" t="s">
        <v>172</v>
      </c>
      <c r="AB113" s="2">
        <v>44029.601979166677</v>
      </c>
      <c r="AC113" t="s">
        <v>133</v>
      </c>
      <c r="AD113" s="2">
        <v>44029.601979166677</v>
      </c>
      <c r="AE113" t="s">
        <v>133</v>
      </c>
    </row>
    <row r="114" spans="1:31" x14ac:dyDescent="0.25">
      <c r="A114" s="7">
        <v>131</v>
      </c>
      <c r="B114" s="6">
        <v>44029</v>
      </c>
      <c r="C114" s="4">
        <f t="shared" si="3"/>
        <v>44029.355879629635</v>
      </c>
      <c r="D114" t="s">
        <v>61</v>
      </c>
      <c r="E114" s="5">
        <v>1</v>
      </c>
      <c r="F114" s="5" t="s">
        <v>30</v>
      </c>
      <c r="K114" t="s">
        <v>237</v>
      </c>
      <c r="AA114" t="s">
        <v>214</v>
      </c>
      <c r="AB114" s="2">
        <v>44029.647546296299</v>
      </c>
      <c r="AC114" t="s">
        <v>133</v>
      </c>
      <c r="AD114" s="2">
        <v>44029.647546296299</v>
      </c>
      <c r="AE114" t="s">
        <v>133</v>
      </c>
    </row>
    <row r="115" spans="1:31" x14ac:dyDescent="0.25">
      <c r="A115" s="7">
        <v>91</v>
      </c>
      <c r="B115" s="6">
        <v>44029</v>
      </c>
      <c r="C115" s="4">
        <f t="shared" si="3"/>
        <v>44029.310081018513</v>
      </c>
      <c r="D115" t="s">
        <v>170</v>
      </c>
      <c r="E115" s="5">
        <v>1</v>
      </c>
      <c r="F115" s="5" t="s">
        <v>30</v>
      </c>
      <c r="J115" t="s">
        <v>258</v>
      </c>
      <c r="K115" t="s">
        <v>237</v>
      </c>
      <c r="AA115" t="s">
        <v>171</v>
      </c>
      <c r="AB115" s="2">
        <v>44029.601747685178</v>
      </c>
      <c r="AC115" t="s">
        <v>133</v>
      </c>
      <c r="AD115" s="2">
        <v>44029.601747685178</v>
      </c>
      <c r="AE115" t="s">
        <v>133</v>
      </c>
    </row>
    <row r="116" spans="1:31" x14ac:dyDescent="0.25">
      <c r="A116" s="7">
        <v>74</v>
      </c>
      <c r="B116" s="6">
        <v>44029</v>
      </c>
      <c r="C116" s="4">
        <f t="shared" si="3"/>
        <v>44029.291863425926</v>
      </c>
      <c r="D116" t="s">
        <v>142</v>
      </c>
      <c r="E116" s="5">
        <v>3</v>
      </c>
      <c r="F116" s="5" t="s">
        <v>30</v>
      </c>
      <c r="J116" t="s">
        <v>143</v>
      </c>
      <c r="K116" t="s">
        <v>237</v>
      </c>
      <c r="AA116" t="s">
        <v>144</v>
      </c>
      <c r="AB116" s="2">
        <v>44029.58353009259</v>
      </c>
      <c r="AC116" t="s">
        <v>133</v>
      </c>
      <c r="AD116" s="2">
        <v>44029.583738425928</v>
      </c>
      <c r="AE116" t="s">
        <v>133</v>
      </c>
    </row>
    <row r="117" spans="1:31" x14ac:dyDescent="0.25">
      <c r="A117" s="7">
        <v>83</v>
      </c>
      <c r="B117" s="6">
        <v>44029</v>
      </c>
      <c r="C117" s="4">
        <f t="shared" si="3"/>
        <v>44029.303668981483</v>
      </c>
      <c r="D117" t="s">
        <v>157</v>
      </c>
      <c r="E117" s="5">
        <v>1</v>
      </c>
      <c r="F117" s="5" t="s">
        <v>30</v>
      </c>
      <c r="J117" t="s">
        <v>257</v>
      </c>
      <c r="K117" t="s">
        <v>237</v>
      </c>
      <c r="AA117" t="s">
        <v>158</v>
      </c>
      <c r="AB117" s="2">
        <v>44029.595335648148</v>
      </c>
      <c r="AC117" t="s">
        <v>133</v>
      </c>
      <c r="AD117" s="2">
        <v>44029.595335648148</v>
      </c>
      <c r="AE117" t="s">
        <v>133</v>
      </c>
    </row>
    <row r="118" spans="1:31" x14ac:dyDescent="0.25">
      <c r="A118" s="7">
        <v>10</v>
      </c>
      <c r="B118" s="6">
        <v>44029</v>
      </c>
      <c r="C118" s="4">
        <f t="shared" si="3"/>
        <v>44029.293148148143</v>
      </c>
      <c r="D118" t="s">
        <v>47</v>
      </c>
      <c r="E118" s="5">
        <v>1</v>
      </c>
      <c r="F118" s="5" t="s">
        <v>30</v>
      </c>
      <c r="K118" t="s">
        <v>236</v>
      </c>
      <c r="AA118" t="s">
        <v>48</v>
      </c>
      <c r="AB118" s="2">
        <v>44029.584814814807</v>
      </c>
      <c r="AC118" t="s">
        <v>32</v>
      </c>
      <c r="AD118" s="2">
        <v>44029.584814814807</v>
      </c>
      <c r="AE118" t="s">
        <v>32</v>
      </c>
    </row>
    <row r="119" spans="1:31" x14ac:dyDescent="0.25">
      <c r="A119" s="7">
        <v>54</v>
      </c>
      <c r="B119" s="6">
        <v>44029</v>
      </c>
      <c r="C119" s="4">
        <f t="shared" si="3"/>
        <v>44029.328946759262</v>
      </c>
      <c r="D119" t="s">
        <v>114</v>
      </c>
      <c r="E119" s="5">
        <v>1</v>
      </c>
      <c r="F119" s="5" t="s">
        <v>30</v>
      </c>
      <c r="K119" t="s">
        <v>236</v>
      </c>
      <c r="AA119" t="s">
        <v>115</v>
      </c>
      <c r="AB119" s="2">
        <v>44029.620613425926</v>
      </c>
      <c r="AC119" t="s">
        <v>32</v>
      </c>
      <c r="AD119" s="2">
        <v>44029.620613425926</v>
      </c>
      <c r="AE119" t="s">
        <v>32</v>
      </c>
    </row>
    <row r="120" spans="1:31" x14ac:dyDescent="0.25">
      <c r="A120" s="7">
        <v>14</v>
      </c>
      <c r="B120" s="6">
        <v>44029</v>
      </c>
      <c r="C120" s="4">
        <f t="shared" si="3"/>
        <v>44029.296805555568</v>
      </c>
      <c r="D120" t="s">
        <v>54</v>
      </c>
      <c r="E120" s="5">
        <v>2</v>
      </c>
      <c r="F120" s="5" t="s">
        <v>30</v>
      </c>
      <c r="K120" t="s">
        <v>236</v>
      </c>
      <c r="AA120" t="s">
        <v>55</v>
      </c>
      <c r="AB120" s="2">
        <v>44029.588472222233</v>
      </c>
      <c r="AC120" t="s">
        <v>32</v>
      </c>
      <c r="AD120" s="2">
        <v>44029.588472222233</v>
      </c>
      <c r="AE120" t="s">
        <v>32</v>
      </c>
    </row>
    <row r="121" spans="1:31" x14ac:dyDescent="0.25">
      <c r="A121" s="7">
        <v>29</v>
      </c>
      <c r="B121" s="6">
        <v>44029</v>
      </c>
      <c r="C121" s="4">
        <f t="shared" si="3"/>
        <v>44029.305949074078</v>
      </c>
      <c r="D121" t="s">
        <v>77</v>
      </c>
      <c r="E121" s="5">
        <v>1</v>
      </c>
      <c r="F121" s="5" t="s">
        <v>30</v>
      </c>
      <c r="K121" t="s">
        <v>236</v>
      </c>
      <c r="AA121" t="s">
        <v>78</v>
      </c>
      <c r="AB121" s="2">
        <v>44029.597615740742</v>
      </c>
      <c r="AC121" t="s">
        <v>32</v>
      </c>
      <c r="AD121" s="2">
        <v>44029.597615740742</v>
      </c>
      <c r="AE121" t="s">
        <v>32</v>
      </c>
    </row>
    <row r="122" spans="1:31" x14ac:dyDescent="0.25">
      <c r="A122" s="7">
        <v>112</v>
      </c>
      <c r="B122" s="6">
        <v>44029</v>
      </c>
      <c r="C122" s="4">
        <f t="shared" si="3"/>
        <v>44029.333321759259</v>
      </c>
      <c r="D122" t="s">
        <v>77</v>
      </c>
      <c r="E122" s="5">
        <v>1</v>
      </c>
      <c r="F122" s="5" t="s">
        <v>30</v>
      </c>
      <c r="K122" t="s">
        <v>237</v>
      </c>
      <c r="AA122" t="s">
        <v>194</v>
      </c>
      <c r="AB122" s="2">
        <v>44029.624988425923</v>
      </c>
      <c r="AC122" t="s">
        <v>133</v>
      </c>
      <c r="AD122" s="2">
        <v>44029.626273148147</v>
      </c>
      <c r="AE122" t="s">
        <v>133</v>
      </c>
    </row>
    <row r="123" spans="1:31" x14ac:dyDescent="0.25">
      <c r="A123" s="7">
        <v>101</v>
      </c>
      <c r="B123" s="6">
        <v>44029</v>
      </c>
      <c r="C123" s="4">
        <f t="shared" si="3"/>
        <v>44029.322407407402</v>
      </c>
      <c r="D123" t="s">
        <v>108</v>
      </c>
      <c r="E123" s="5">
        <v>4</v>
      </c>
      <c r="F123" s="5" t="s">
        <v>30</v>
      </c>
      <c r="K123" t="s">
        <v>237</v>
      </c>
      <c r="AA123" t="s">
        <v>182</v>
      </c>
      <c r="AB123" s="2">
        <v>44029.614074074067</v>
      </c>
      <c r="AC123" t="s">
        <v>133</v>
      </c>
      <c r="AD123" s="2">
        <v>44029.61931712964</v>
      </c>
      <c r="AE123" t="s">
        <v>133</v>
      </c>
    </row>
    <row r="124" spans="1:31" x14ac:dyDescent="0.25">
      <c r="A124" s="7">
        <v>51</v>
      </c>
      <c r="B124" s="6">
        <v>44029</v>
      </c>
      <c r="C124" s="4">
        <f t="shared" si="3"/>
        <v>44029.326527777783</v>
      </c>
      <c r="D124" t="s">
        <v>108</v>
      </c>
      <c r="E124" s="5">
        <v>16</v>
      </c>
      <c r="F124" s="5" t="s">
        <v>30</v>
      </c>
      <c r="K124" t="s">
        <v>236</v>
      </c>
      <c r="AA124" t="s">
        <v>109</v>
      </c>
      <c r="AB124" s="2">
        <v>44029.618194444447</v>
      </c>
      <c r="AC124" t="s">
        <v>32</v>
      </c>
      <c r="AD124" s="2">
        <v>44029.618194444447</v>
      </c>
      <c r="AE124" t="s">
        <v>32</v>
      </c>
    </row>
    <row r="125" spans="1:31" x14ac:dyDescent="0.25">
      <c r="A125" s="7">
        <v>72</v>
      </c>
      <c r="B125" s="6">
        <v>44029</v>
      </c>
      <c r="C125" s="4">
        <f t="shared" si="3"/>
        <v>44029.291284722225</v>
      </c>
      <c r="D125" t="s">
        <v>139</v>
      </c>
      <c r="E125" s="5">
        <v>1</v>
      </c>
      <c r="F125" s="5" t="s">
        <v>30</v>
      </c>
      <c r="K125" t="s">
        <v>237</v>
      </c>
      <c r="AA125" t="s">
        <v>140</v>
      </c>
      <c r="AB125" s="2">
        <v>44029.582951388889</v>
      </c>
      <c r="AC125" t="s">
        <v>133</v>
      </c>
      <c r="AD125" s="2">
        <v>44029.582951388889</v>
      </c>
      <c r="AE125" t="s">
        <v>133</v>
      </c>
    </row>
    <row r="126" spans="1:31" x14ac:dyDescent="0.25">
      <c r="A126" s="7">
        <v>118</v>
      </c>
      <c r="B126" s="6">
        <v>44029</v>
      </c>
      <c r="C126" s="4">
        <f t="shared" si="3"/>
        <v>44029.337650462963</v>
      </c>
      <c r="D126" t="s">
        <v>139</v>
      </c>
      <c r="E126" s="5">
        <v>2</v>
      </c>
      <c r="F126" s="5" t="s">
        <v>30</v>
      </c>
      <c r="G126" t="s">
        <v>160</v>
      </c>
      <c r="K126" t="s">
        <v>237</v>
      </c>
      <c r="AA126" t="s">
        <v>201</v>
      </c>
      <c r="AB126" s="2">
        <v>44029.629317129627</v>
      </c>
      <c r="AC126" t="s">
        <v>133</v>
      </c>
      <c r="AD126" s="2">
        <v>44029.629317129627</v>
      </c>
      <c r="AE126" t="s">
        <v>133</v>
      </c>
    </row>
    <row r="127" spans="1:31" x14ac:dyDescent="0.25">
      <c r="A127" s="7">
        <v>139</v>
      </c>
      <c r="B127" s="6">
        <v>44029</v>
      </c>
      <c r="C127" s="4">
        <f t="shared" si="3"/>
        <v>44029.359675925938</v>
      </c>
      <c r="D127" t="s">
        <v>139</v>
      </c>
      <c r="E127" s="5">
        <v>1</v>
      </c>
      <c r="F127" s="5" t="s">
        <v>30</v>
      </c>
      <c r="K127" t="s">
        <v>237</v>
      </c>
      <c r="AA127" t="s">
        <v>224</v>
      </c>
      <c r="AB127" s="2">
        <v>44029.651342592602</v>
      </c>
      <c r="AC127" t="s">
        <v>133</v>
      </c>
      <c r="AD127" s="2">
        <v>44029.651342592602</v>
      </c>
      <c r="AE127" t="s">
        <v>133</v>
      </c>
    </row>
    <row r="128" spans="1:31" x14ac:dyDescent="0.25">
      <c r="A128" s="7">
        <v>2</v>
      </c>
      <c r="B128" s="6">
        <v>44029</v>
      </c>
      <c r="C128" s="4">
        <f t="shared" si="3"/>
        <v>44029.289560185185</v>
      </c>
      <c r="D128" t="s">
        <v>33</v>
      </c>
      <c r="E128" s="5">
        <v>1</v>
      </c>
      <c r="F128" s="5" t="s">
        <v>30</v>
      </c>
      <c r="K128" t="s">
        <v>236</v>
      </c>
      <c r="AA128" t="s">
        <v>34</v>
      </c>
      <c r="AB128" s="2">
        <v>44029.581226851849</v>
      </c>
      <c r="AC128" t="s">
        <v>32</v>
      </c>
      <c r="AD128" s="2">
        <v>44029.581226851849</v>
      </c>
      <c r="AE128" t="s">
        <v>32</v>
      </c>
    </row>
    <row r="129" spans="1:31" x14ac:dyDescent="0.25">
      <c r="A129" s="7">
        <v>3</v>
      </c>
      <c r="B129" s="6">
        <v>44029</v>
      </c>
      <c r="C129" s="4">
        <f t="shared" si="3"/>
        <v>44029.289918981485</v>
      </c>
      <c r="D129" t="s">
        <v>33</v>
      </c>
      <c r="E129" s="5">
        <v>1</v>
      </c>
      <c r="F129" s="5" t="s">
        <v>30</v>
      </c>
      <c r="K129" t="s">
        <v>236</v>
      </c>
      <c r="AA129" t="s">
        <v>35</v>
      </c>
      <c r="AB129" s="2">
        <v>44029.581585648149</v>
      </c>
      <c r="AC129" t="s">
        <v>32</v>
      </c>
      <c r="AD129" s="2">
        <v>44029.581585648149</v>
      </c>
      <c r="AE129" t="s">
        <v>32</v>
      </c>
    </row>
    <row r="130" spans="1:31" x14ac:dyDescent="0.25">
      <c r="A130" s="7">
        <v>7</v>
      </c>
      <c r="B130" s="6">
        <v>44029</v>
      </c>
      <c r="C130" s="4">
        <f t="shared" ref="C130:C147" si="4">AB130-(7/24)</f>
        <v>44029.292500000003</v>
      </c>
      <c r="D130" t="s">
        <v>33</v>
      </c>
      <c r="E130" s="5">
        <v>1</v>
      </c>
      <c r="F130" s="5" t="s">
        <v>30</v>
      </c>
      <c r="J130" t="s">
        <v>235</v>
      </c>
      <c r="K130" t="s">
        <v>236</v>
      </c>
      <c r="AA130" t="s">
        <v>42</v>
      </c>
      <c r="AB130" s="2">
        <v>44029.584166666667</v>
      </c>
      <c r="AC130" t="s">
        <v>32</v>
      </c>
      <c r="AD130" s="2">
        <v>44029.584166666667</v>
      </c>
      <c r="AE130" t="s">
        <v>32</v>
      </c>
    </row>
    <row r="131" spans="1:31" x14ac:dyDescent="0.25">
      <c r="A131" s="7">
        <v>40</v>
      </c>
      <c r="B131" s="6">
        <v>44029</v>
      </c>
      <c r="C131" s="4">
        <f t="shared" si="4"/>
        <v>44029.314884259264</v>
      </c>
      <c r="D131" t="s">
        <v>33</v>
      </c>
      <c r="E131" s="5">
        <v>2</v>
      </c>
      <c r="F131" s="5" t="s">
        <v>30</v>
      </c>
      <c r="K131" t="s">
        <v>236</v>
      </c>
      <c r="AA131" t="s">
        <v>94</v>
      </c>
      <c r="AB131" s="2">
        <v>44029.606550925928</v>
      </c>
      <c r="AC131" t="s">
        <v>32</v>
      </c>
      <c r="AD131" s="2">
        <v>44029.606550925928</v>
      </c>
      <c r="AE131" t="s">
        <v>32</v>
      </c>
    </row>
    <row r="132" spans="1:31" x14ac:dyDescent="0.25">
      <c r="A132" s="7">
        <v>42</v>
      </c>
      <c r="B132" s="6">
        <v>44029</v>
      </c>
      <c r="C132" s="4">
        <f t="shared" si="4"/>
        <v>44029.316134259279</v>
      </c>
      <c r="D132" t="s">
        <v>33</v>
      </c>
      <c r="E132" s="5">
        <v>1</v>
      </c>
      <c r="F132" s="5" t="s">
        <v>30</v>
      </c>
      <c r="K132" t="s">
        <v>236</v>
      </c>
      <c r="AA132" t="s">
        <v>96</v>
      </c>
      <c r="AB132" s="2">
        <v>44029.607800925944</v>
      </c>
      <c r="AC132" t="s">
        <v>32</v>
      </c>
      <c r="AD132" s="2">
        <v>44029.607800925944</v>
      </c>
      <c r="AE132" t="s">
        <v>32</v>
      </c>
    </row>
    <row r="133" spans="1:31" x14ac:dyDescent="0.25">
      <c r="A133" s="7">
        <v>47</v>
      </c>
      <c r="B133" s="6">
        <v>44029</v>
      </c>
      <c r="C133" s="4">
        <f t="shared" si="4"/>
        <v>44029.319907407407</v>
      </c>
      <c r="D133" t="s">
        <v>33</v>
      </c>
      <c r="E133" s="5">
        <v>2</v>
      </c>
      <c r="F133" s="5" t="s">
        <v>30</v>
      </c>
      <c r="K133" t="s">
        <v>236</v>
      </c>
      <c r="AA133" t="s">
        <v>102</v>
      </c>
      <c r="AB133" s="2">
        <v>44029.611574074072</v>
      </c>
      <c r="AC133" t="s">
        <v>32</v>
      </c>
      <c r="AD133" s="2">
        <v>44029.611574074072</v>
      </c>
      <c r="AE133" t="s">
        <v>32</v>
      </c>
    </row>
    <row r="134" spans="1:31" x14ac:dyDescent="0.25">
      <c r="A134" s="7">
        <v>116</v>
      </c>
      <c r="B134" s="6">
        <v>44029</v>
      </c>
      <c r="C134" s="4">
        <f t="shared" si="4"/>
        <v>44029.336504629639</v>
      </c>
      <c r="D134" t="s">
        <v>33</v>
      </c>
      <c r="E134" s="5">
        <v>3</v>
      </c>
      <c r="F134" s="5" t="s">
        <v>30</v>
      </c>
      <c r="K134" t="s">
        <v>237</v>
      </c>
      <c r="AA134" t="s">
        <v>199</v>
      </c>
      <c r="AB134" s="2">
        <v>44029.628171296303</v>
      </c>
      <c r="AC134" t="s">
        <v>133</v>
      </c>
      <c r="AD134" s="2">
        <v>44029.628171296303</v>
      </c>
      <c r="AE134" t="s">
        <v>133</v>
      </c>
    </row>
    <row r="135" spans="1:31" x14ac:dyDescent="0.25">
      <c r="A135" s="7">
        <v>144</v>
      </c>
      <c r="B135" s="6">
        <v>44029</v>
      </c>
      <c r="C135" s="4">
        <f t="shared" si="4"/>
        <v>44029.369340277779</v>
      </c>
      <c r="D135" t="s">
        <v>33</v>
      </c>
      <c r="E135" s="5">
        <v>1</v>
      </c>
      <c r="F135" s="5" t="s">
        <v>30</v>
      </c>
      <c r="K135" t="s">
        <v>237</v>
      </c>
      <c r="AA135" t="s">
        <v>229</v>
      </c>
      <c r="AB135" s="2">
        <v>44029.661006944443</v>
      </c>
      <c r="AC135" t="s">
        <v>133</v>
      </c>
      <c r="AD135" s="2">
        <v>44029.661006944443</v>
      </c>
      <c r="AE135" t="s">
        <v>133</v>
      </c>
    </row>
    <row r="136" spans="1:31" x14ac:dyDescent="0.25">
      <c r="A136" s="7">
        <v>146</v>
      </c>
      <c r="B136" s="6">
        <v>44029</v>
      </c>
      <c r="C136" s="4">
        <f t="shared" si="4"/>
        <v>44029.380659722228</v>
      </c>
      <c r="D136" t="s">
        <v>33</v>
      </c>
      <c r="E136" s="5">
        <v>1</v>
      </c>
      <c r="F136" s="5" t="s">
        <v>30</v>
      </c>
      <c r="K136" t="s">
        <v>237</v>
      </c>
      <c r="M136" t="s">
        <v>231</v>
      </c>
      <c r="AA136" t="s">
        <v>232</v>
      </c>
      <c r="AB136" s="2">
        <v>44029.672326388893</v>
      </c>
      <c r="AC136" t="s">
        <v>133</v>
      </c>
      <c r="AD136" s="2">
        <v>44029.672326388893</v>
      </c>
      <c r="AE136" t="s">
        <v>133</v>
      </c>
    </row>
    <row r="137" spans="1:31" x14ac:dyDescent="0.25">
      <c r="A137" s="7">
        <v>77</v>
      </c>
      <c r="B137" s="6">
        <v>44029</v>
      </c>
      <c r="C137" s="4">
        <f t="shared" si="4"/>
        <v>44029.297245370362</v>
      </c>
      <c r="D137" t="s">
        <v>148</v>
      </c>
      <c r="E137" s="5">
        <v>5</v>
      </c>
      <c r="F137" s="5" t="s">
        <v>30</v>
      </c>
      <c r="K137" t="s">
        <v>237</v>
      </c>
      <c r="AA137" t="s">
        <v>149</v>
      </c>
      <c r="AB137" s="2">
        <v>44029.588912037027</v>
      </c>
      <c r="AC137" t="s">
        <v>133</v>
      </c>
      <c r="AD137" s="2">
        <v>44029.588912037027</v>
      </c>
      <c r="AE137" t="s">
        <v>133</v>
      </c>
    </row>
    <row r="138" spans="1:31" x14ac:dyDescent="0.25">
      <c r="A138" s="7">
        <v>35</v>
      </c>
      <c r="B138" s="6">
        <v>44029</v>
      </c>
      <c r="C138" s="4">
        <f t="shared" si="4"/>
        <v>44029.309027777788</v>
      </c>
      <c r="D138" t="s">
        <v>85</v>
      </c>
      <c r="E138" s="5">
        <v>1</v>
      </c>
      <c r="F138" s="5" t="s">
        <v>30</v>
      </c>
      <c r="K138" t="s">
        <v>236</v>
      </c>
      <c r="AA138" t="s">
        <v>86</v>
      </c>
      <c r="AB138" s="2">
        <v>44029.600694444453</v>
      </c>
      <c r="AC138" t="s">
        <v>32</v>
      </c>
      <c r="AD138" s="2">
        <v>44029.600694444453</v>
      </c>
      <c r="AE138" t="s">
        <v>32</v>
      </c>
    </row>
    <row r="139" spans="1:31" x14ac:dyDescent="0.25">
      <c r="A139" s="7">
        <v>37</v>
      </c>
      <c r="B139" s="6">
        <v>44029</v>
      </c>
      <c r="C139" s="4">
        <f t="shared" si="4"/>
        <v>44029.310150462967</v>
      </c>
      <c r="D139" t="s">
        <v>85</v>
      </c>
      <c r="E139" s="5">
        <v>12</v>
      </c>
      <c r="F139" s="5" t="s">
        <v>30</v>
      </c>
      <c r="K139" t="s">
        <v>236</v>
      </c>
      <c r="AA139" t="s">
        <v>89</v>
      </c>
      <c r="AB139" s="2">
        <v>44029.601817129631</v>
      </c>
      <c r="AC139" t="s">
        <v>32</v>
      </c>
      <c r="AD139" s="2">
        <v>44029.601817129631</v>
      </c>
      <c r="AE139" t="s">
        <v>32</v>
      </c>
    </row>
    <row r="140" spans="1:31" x14ac:dyDescent="0.25">
      <c r="A140" s="7">
        <v>53</v>
      </c>
      <c r="B140" s="6">
        <v>44029</v>
      </c>
      <c r="C140" s="4">
        <f t="shared" si="4"/>
        <v>44029.328819444447</v>
      </c>
      <c r="D140" t="s">
        <v>112</v>
      </c>
      <c r="E140" s="5">
        <v>6</v>
      </c>
      <c r="F140" s="5" t="s">
        <v>30</v>
      </c>
      <c r="K140" t="s">
        <v>236</v>
      </c>
      <c r="AA140" t="s">
        <v>113</v>
      </c>
      <c r="AB140" s="2">
        <v>44029.620486111111</v>
      </c>
      <c r="AC140" t="s">
        <v>32</v>
      </c>
      <c r="AD140" s="2">
        <v>44029.620486111111</v>
      </c>
      <c r="AE140" t="s">
        <v>32</v>
      </c>
    </row>
    <row r="141" spans="1:31" x14ac:dyDescent="0.25">
      <c r="A141" s="7">
        <v>55</v>
      </c>
      <c r="B141" s="6">
        <v>44029</v>
      </c>
      <c r="C141" s="4">
        <f t="shared" si="4"/>
        <v>44029.329097222224</v>
      </c>
      <c r="D141" t="s">
        <v>116</v>
      </c>
      <c r="E141" s="5">
        <v>1</v>
      </c>
      <c r="F141" s="5" t="s">
        <v>30</v>
      </c>
      <c r="K141" t="s">
        <v>236</v>
      </c>
      <c r="AA141" t="s">
        <v>117</v>
      </c>
      <c r="AB141" s="2">
        <v>44029.620763888888</v>
      </c>
      <c r="AC141" t="s">
        <v>32</v>
      </c>
      <c r="AD141" s="2">
        <v>44029.620763888888</v>
      </c>
      <c r="AE141" t="s">
        <v>32</v>
      </c>
    </row>
    <row r="142" spans="1:31" x14ac:dyDescent="0.25">
      <c r="A142" s="7">
        <v>106</v>
      </c>
      <c r="B142" s="6">
        <v>44029</v>
      </c>
      <c r="C142" s="4">
        <f t="shared" si="4"/>
        <v>44029.326307870375</v>
      </c>
      <c r="D142" t="s">
        <v>238</v>
      </c>
      <c r="E142" s="5">
        <v>10</v>
      </c>
      <c r="F142" s="5" t="s">
        <v>30</v>
      </c>
      <c r="J142" t="s">
        <v>187</v>
      </c>
      <c r="K142" t="s">
        <v>237</v>
      </c>
      <c r="AA142" t="s">
        <v>188</v>
      </c>
      <c r="AB142" s="2">
        <v>44029.617974537039</v>
      </c>
      <c r="AC142" t="s">
        <v>133</v>
      </c>
      <c r="AD142" s="2">
        <v>44029.617974537039</v>
      </c>
      <c r="AE142" t="s">
        <v>133</v>
      </c>
    </row>
    <row r="143" spans="1:31" x14ac:dyDescent="0.25">
      <c r="A143" s="7">
        <v>36</v>
      </c>
      <c r="B143" s="6">
        <v>44029</v>
      </c>
      <c r="C143" s="4">
        <f t="shared" si="4"/>
        <v>44029.309189814812</v>
      </c>
      <c r="D143" t="s">
        <v>87</v>
      </c>
      <c r="E143" s="5">
        <v>1</v>
      </c>
      <c r="F143" s="5" t="s">
        <v>30</v>
      </c>
      <c r="K143" t="s">
        <v>236</v>
      </c>
      <c r="AA143" t="s">
        <v>88</v>
      </c>
      <c r="AB143" s="2">
        <v>44029.600856481477</v>
      </c>
      <c r="AC143" t="s">
        <v>32</v>
      </c>
      <c r="AD143" s="2">
        <v>44029.600856481477</v>
      </c>
      <c r="AE143" t="s">
        <v>32</v>
      </c>
    </row>
    <row r="144" spans="1:31" x14ac:dyDescent="0.25">
      <c r="A144" s="7">
        <v>44</v>
      </c>
      <c r="B144" s="6">
        <v>44029</v>
      </c>
      <c r="C144" s="4">
        <f t="shared" si="4"/>
        <v>44029.318449074075</v>
      </c>
      <c r="D144" t="s">
        <v>87</v>
      </c>
      <c r="E144" s="5">
        <v>2</v>
      </c>
      <c r="F144" s="5" t="s">
        <v>30</v>
      </c>
      <c r="K144" t="s">
        <v>236</v>
      </c>
      <c r="AA144" t="s">
        <v>99</v>
      </c>
      <c r="AB144" s="2">
        <v>44029.610115740739</v>
      </c>
      <c r="AC144" t="s">
        <v>32</v>
      </c>
      <c r="AD144" s="2">
        <v>44029.610115740739</v>
      </c>
      <c r="AE144" t="s">
        <v>32</v>
      </c>
    </row>
    <row r="145" spans="1:31" x14ac:dyDescent="0.25">
      <c r="A145" s="7">
        <v>46</v>
      </c>
      <c r="B145" s="6">
        <v>44029</v>
      </c>
      <c r="C145" s="4">
        <f t="shared" si="4"/>
        <v>44029.319247685198</v>
      </c>
      <c r="D145" t="s">
        <v>87</v>
      </c>
      <c r="E145" s="5">
        <v>2</v>
      </c>
      <c r="F145" s="5" t="s">
        <v>30</v>
      </c>
      <c r="K145" t="s">
        <v>236</v>
      </c>
      <c r="AA145" t="s">
        <v>101</v>
      </c>
      <c r="AB145" s="2">
        <v>44029.610914351862</v>
      </c>
      <c r="AC145" t="s">
        <v>32</v>
      </c>
      <c r="AD145" s="2">
        <v>44029.610914351862</v>
      </c>
      <c r="AE145" t="s">
        <v>32</v>
      </c>
    </row>
    <row r="146" spans="1:31" x14ac:dyDescent="0.25">
      <c r="A146" s="7">
        <v>108</v>
      </c>
      <c r="B146" s="6">
        <v>44029</v>
      </c>
      <c r="C146" s="4">
        <f t="shared" si="4"/>
        <v>44029.327256944445</v>
      </c>
      <c r="D146" t="s">
        <v>87</v>
      </c>
      <c r="E146" s="5">
        <v>3</v>
      </c>
      <c r="F146" s="5" t="s">
        <v>92</v>
      </c>
      <c r="J146" t="s">
        <v>256</v>
      </c>
      <c r="K146" t="s">
        <v>237</v>
      </c>
      <c r="AA146" t="s">
        <v>190</v>
      </c>
      <c r="AB146" s="2">
        <v>44029.618923611109</v>
      </c>
      <c r="AC146" t="s">
        <v>133</v>
      </c>
      <c r="AD146" s="2">
        <v>44029.619120370371</v>
      </c>
      <c r="AE146" t="s">
        <v>133</v>
      </c>
    </row>
    <row r="147" spans="1:31" x14ac:dyDescent="0.25">
      <c r="A147" s="7">
        <v>76</v>
      </c>
      <c r="B147" s="6">
        <v>44029</v>
      </c>
      <c r="C147" s="4">
        <f t="shared" si="4"/>
        <v>44029.294120370374</v>
      </c>
      <c r="D147" t="s">
        <v>146</v>
      </c>
      <c r="E147" s="5">
        <v>2</v>
      </c>
      <c r="F147" s="5" t="s">
        <v>30</v>
      </c>
      <c r="J147" t="s">
        <v>255</v>
      </c>
      <c r="K147" t="s">
        <v>237</v>
      </c>
      <c r="AA147" t="s">
        <v>147</v>
      </c>
      <c r="AB147" s="2">
        <v>44029.585787037038</v>
      </c>
      <c r="AC147" t="s">
        <v>133</v>
      </c>
      <c r="AD147" s="2">
        <v>44029.585787037038</v>
      </c>
      <c r="AE147" t="s">
        <v>133</v>
      </c>
    </row>
  </sheetData>
  <autoFilter ref="A1:AE147" xr:uid="{AE135890-F72C-497E-97D2-361A33DAECC6}"/>
  <sortState xmlns:xlrd2="http://schemas.microsoft.com/office/spreadsheetml/2017/richdata2" ref="A2:AE147">
    <sortCondition ref="D2:D147"/>
    <sortCondition ref="C2:C147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6578-03AD-467A-9A0B-90515275F8E3}">
  <dimension ref="A1:H54"/>
  <sheetViews>
    <sheetView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D6" sqref="D6:D52"/>
    </sheetView>
  </sheetViews>
  <sheetFormatPr defaultColWidth="8.85546875" defaultRowHeight="15" x14ac:dyDescent="0.25"/>
  <cols>
    <col min="1" max="1" width="32.85546875" bestFit="1" customWidth="1"/>
    <col min="2" max="2" width="25.85546875" style="5" bestFit="1" customWidth="1"/>
    <col min="3" max="3" width="21.7109375" style="5" bestFit="1" customWidth="1"/>
    <col min="4" max="4" width="8.42578125" style="5" bestFit="1" customWidth="1"/>
    <col min="5" max="5" width="25.85546875" style="5" bestFit="1" customWidth="1"/>
    <col min="6" max="6" width="21.7109375" style="5" bestFit="1" customWidth="1"/>
    <col min="7" max="7" width="9" style="5" bestFit="1" customWidth="1"/>
    <col min="8" max="8" width="11.28515625" bestFit="1" customWidth="1"/>
  </cols>
  <sheetData>
    <row r="1" spans="1:8" x14ac:dyDescent="0.25">
      <c r="D1" s="16" t="s">
        <v>246</v>
      </c>
      <c r="E1" s="14" t="s">
        <v>245</v>
      </c>
      <c r="F1" s="14"/>
      <c r="G1" s="14"/>
    </row>
    <row r="2" spans="1:8" x14ac:dyDescent="0.25">
      <c r="D2" s="17"/>
      <c r="E2" s="15"/>
      <c r="F2" s="15"/>
      <c r="G2" s="15"/>
    </row>
    <row r="3" spans="1:8" x14ac:dyDescent="0.25">
      <c r="A3" s="8" t="s">
        <v>241</v>
      </c>
      <c r="B3" s="9" t="s">
        <v>242</v>
      </c>
      <c r="D3" s="11"/>
    </row>
    <row r="4" spans="1:8" x14ac:dyDescent="0.25">
      <c r="B4" s="5" t="s">
        <v>30</v>
      </c>
      <c r="D4" s="11" t="s">
        <v>243</v>
      </c>
      <c r="E4" s="5" t="s">
        <v>92</v>
      </c>
      <c r="G4" s="5" t="s">
        <v>244</v>
      </c>
    </row>
    <row r="5" spans="1:8" x14ac:dyDescent="0.25">
      <c r="A5" s="8" t="s">
        <v>239</v>
      </c>
      <c r="B5" s="5" t="s">
        <v>236</v>
      </c>
      <c r="C5" s="5" t="s">
        <v>237</v>
      </c>
      <c r="D5" s="11"/>
      <c r="E5" s="5" t="s">
        <v>236</v>
      </c>
      <c r="F5" s="5" t="s">
        <v>237</v>
      </c>
    </row>
    <row r="6" spans="1:8" x14ac:dyDescent="0.25">
      <c r="A6" s="7" t="s">
        <v>75</v>
      </c>
      <c r="B6" s="10">
        <v>1</v>
      </c>
      <c r="C6" s="10"/>
      <c r="D6" s="13">
        <v>1</v>
      </c>
      <c r="E6" s="10"/>
      <c r="F6" s="10"/>
      <c r="G6" s="10"/>
    </row>
    <row r="7" spans="1:8" x14ac:dyDescent="0.25">
      <c r="A7" s="7" t="s">
        <v>125</v>
      </c>
      <c r="B7" s="10">
        <v>1</v>
      </c>
      <c r="C7" s="10">
        <v>3</v>
      </c>
      <c r="D7" s="13">
        <v>4</v>
      </c>
      <c r="E7" s="10"/>
      <c r="F7" s="10"/>
      <c r="G7" s="10"/>
    </row>
    <row r="8" spans="1:8" x14ac:dyDescent="0.25">
      <c r="A8" s="7" t="s">
        <v>162</v>
      </c>
      <c r="B8" s="10"/>
      <c r="C8" s="10">
        <v>3</v>
      </c>
      <c r="D8" s="13">
        <v>3</v>
      </c>
      <c r="E8" s="10"/>
      <c r="F8" s="10"/>
      <c r="G8" s="10"/>
    </row>
    <row r="9" spans="1:8" x14ac:dyDescent="0.25">
      <c r="A9" s="7" t="s">
        <v>36</v>
      </c>
      <c r="B9" s="10">
        <v>4</v>
      </c>
      <c r="C9" s="10">
        <v>4</v>
      </c>
      <c r="D9" s="13">
        <v>8</v>
      </c>
      <c r="E9" s="10"/>
      <c r="F9" s="10"/>
      <c r="G9" s="10"/>
    </row>
    <row r="10" spans="1:8" x14ac:dyDescent="0.25">
      <c r="A10" s="7" t="s">
        <v>196</v>
      </c>
      <c r="B10" s="10"/>
      <c r="C10" s="10">
        <v>1</v>
      </c>
      <c r="D10" s="13">
        <v>1</v>
      </c>
      <c r="E10" s="10"/>
      <c r="F10" s="10"/>
      <c r="G10" s="10"/>
    </row>
    <row r="11" spans="1:8" x14ac:dyDescent="0.25">
      <c r="A11" s="7" t="s">
        <v>81</v>
      </c>
      <c r="B11" s="10">
        <v>4</v>
      </c>
      <c r="C11" s="10">
        <v>3</v>
      </c>
      <c r="D11" s="13">
        <v>7</v>
      </c>
      <c r="E11" s="10"/>
      <c r="F11" s="10"/>
      <c r="G11" s="10"/>
    </row>
    <row r="12" spans="1:8" x14ac:dyDescent="0.25">
      <c r="A12" s="7" t="s">
        <v>29</v>
      </c>
      <c r="B12" s="10">
        <v>7</v>
      </c>
      <c r="C12" s="10">
        <v>3</v>
      </c>
      <c r="D12" s="13">
        <v>10</v>
      </c>
      <c r="E12" s="10"/>
      <c r="F12" s="10">
        <v>8</v>
      </c>
      <c r="G12" s="10">
        <v>8</v>
      </c>
      <c r="H12" t="s">
        <v>247</v>
      </c>
    </row>
    <row r="13" spans="1:8" x14ac:dyDescent="0.25">
      <c r="A13" s="7" t="s">
        <v>43</v>
      </c>
      <c r="B13" s="10">
        <v>2</v>
      </c>
      <c r="C13" s="10"/>
      <c r="D13" s="13">
        <v>2</v>
      </c>
      <c r="E13" s="10"/>
      <c r="F13" s="10"/>
      <c r="G13" s="10"/>
    </row>
    <row r="14" spans="1:8" x14ac:dyDescent="0.25">
      <c r="A14" s="7" t="s">
        <v>40</v>
      </c>
      <c r="B14" s="10">
        <v>7</v>
      </c>
      <c r="C14" s="10">
        <v>8</v>
      </c>
      <c r="D14" s="13">
        <v>15</v>
      </c>
      <c r="E14" s="10"/>
      <c r="F14" s="10"/>
      <c r="G14" s="10"/>
    </row>
    <row r="15" spans="1:8" x14ac:dyDescent="0.25">
      <c r="A15" s="7" t="s">
        <v>38</v>
      </c>
      <c r="B15" s="10">
        <v>2</v>
      </c>
      <c r="C15" s="10">
        <v>4</v>
      </c>
      <c r="D15" s="13">
        <v>6</v>
      </c>
      <c r="E15" s="10"/>
      <c r="F15" s="10">
        <v>1</v>
      </c>
      <c r="G15" s="10">
        <v>1</v>
      </c>
    </row>
    <row r="16" spans="1:8" x14ac:dyDescent="0.25">
      <c r="A16" s="7" t="s">
        <v>57</v>
      </c>
      <c r="B16" s="10">
        <v>2</v>
      </c>
      <c r="C16" s="10"/>
      <c r="D16" s="13">
        <v>2</v>
      </c>
      <c r="E16" s="10"/>
      <c r="F16" s="10">
        <v>2</v>
      </c>
      <c r="G16" s="10">
        <v>2</v>
      </c>
      <c r="H16" t="s">
        <v>248</v>
      </c>
    </row>
    <row r="17" spans="1:7" x14ac:dyDescent="0.25">
      <c r="A17" s="7" t="s">
        <v>106</v>
      </c>
      <c r="B17" s="10">
        <v>5</v>
      </c>
      <c r="C17" s="10">
        <v>8</v>
      </c>
      <c r="D17" s="13">
        <v>13</v>
      </c>
      <c r="E17" s="10"/>
      <c r="F17" s="10"/>
      <c r="G17" s="10"/>
    </row>
    <row r="18" spans="1:7" x14ac:dyDescent="0.25">
      <c r="A18" s="7" t="s">
        <v>51</v>
      </c>
      <c r="B18" s="10">
        <v>2</v>
      </c>
      <c r="C18" s="10">
        <v>1</v>
      </c>
      <c r="D18" s="13">
        <v>3</v>
      </c>
      <c r="E18" s="10"/>
      <c r="F18" s="10"/>
      <c r="G18" s="10"/>
    </row>
    <row r="19" spans="1:7" x14ac:dyDescent="0.25">
      <c r="A19" s="7" t="s">
        <v>71</v>
      </c>
      <c r="B19" s="10">
        <v>25</v>
      </c>
      <c r="C19" s="10">
        <v>12</v>
      </c>
      <c r="D19" s="13">
        <v>37</v>
      </c>
      <c r="E19" s="10">
        <v>25</v>
      </c>
      <c r="F19" s="10"/>
      <c r="G19" s="10">
        <v>25</v>
      </c>
    </row>
    <row r="20" spans="1:7" x14ac:dyDescent="0.25">
      <c r="A20" s="7" t="s">
        <v>103</v>
      </c>
      <c r="B20" s="10">
        <v>5</v>
      </c>
      <c r="C20" s="10">
        <v>3</v>
      </c>
      <c r="D20" s="13">
        <v>8</v>
      </c>
      <c r="E20" s="10"/>
      <c r="F20" s="10"/>
      <c r="G20" s="10"/>
    </row>
    <row r="21" spans="1:7" x14ac:dyDescent="0.25">
      <c r="A21" s="7" t="s">
        <v>45</v>
      </c>
      <c r="B21" s="10">
        <v>16</v>
      </c>
      <c r="C21" s="10">
        <v>3</v>
      </c>
      <c r="D21" s="13">
        <v>19</v>
      </c>
      <c r="E21" s="10"/>
      <c r="F21" s="10"/>
      <c r="G21" s="10"/>
    </row>
    <row r="22" spans="1:7" x14ac:dyDescent="0.25">
      <c r="A22" s="7" t="s">
        <v>165</v>
      </c>
      <c r="B22" s="10"/>
      <c r="C22" s="10">
        <v>1</v>
      </c>
      <c r="D22" s="13">
        <v>1</v>
      </c>
      <c r="E22" s="10"/>
      <c r="F22" s="10"/>
      <c r="G22" s="10"/>
    </row>
    <row r="23" spans="1:7" x14ac:dyDescent="0.25">
      <c r="A23" s="7" t="s">
        <v>73</v>
      </c>
      <c r="B23" s="10">
        <v>1</v>
      </c>
      <c r="C23" s="10"/>
      <c r="D23" s="13">
        <v>1</v>
      </c>
      <c r="E23" s="10"/>
      <c r="F23" s="10"/>
      <c r="G23" s="10"/>
    </row>
    <row r="24" spans="1:7" x14ac:dyDescent="0.25">
      <c r="A24" s="7" t="s">
        <v>222</v>
      </c>
      <c r="B24" s="10"/>
      <c r="C24" s="10">
        <v>3</v>
      </c>
      <c r="D24" s="13">
        <v>3</v>
      </c>
      <c r="E24" s="10"/>
      <c r="F24" s="10"/>
      <c r="G24" s="10"/>
    </row>
    <row r="25" spans="1:7" x14ac:dyDescent="0.25">
      <c r="A25" s="7" t="s">
        <v>215</v>
      </c>
      <c r="B25" s="10"/>
      <c r="C25" s="10">
        <v>1</v>
      </c>
      <c r="D25" s="13">
        <v>1</v>
      </c>
      <c r="E25" s="10"/>
      <c r="F25" s="10"/>
      <c r="G25" s="10"/>
    </row>
    <row r="26" spans="1:7" x14ac:dyDescent="0.25">
      <c r="A26" s="7" t="s">
        <v>90</v>
      </c>
      <c r="B26" s="10">
        <v>29</v>
      </c>
      <c r="C26" s="10"/>
      <c r="D26" s="13">
        <v>29</v>
      </c>
      <c r="E26" s="10"/>
      <c r="F26" s="10"/>
      <c r="G26" s="10"/>
    </row>
    <row r="27" spans="1:7" x14ac:dyDescent="0.25">
      <c r="A27" s="7" t="s">
        <v>49</v>
      </c>
      <c r="B27" s="10">
        <v>2</v>
      </c>
      <c r="C27" s="10">
        <v>4</v>
      </c>
      <c r="D27" s="13">
        <v>6</v>
      </c>
      <c r="E27" s="10"/>
      <c r="F27" s="10"/>
      <c r="G27" s="10"/>
    </row>
    <row r="28" spans="1:7" x14ac:dyDescent="0.25">
      <c r="A28" s="7" t="s">
        <v>63</v>
      </c>
      <c r="B28" s="10">
        <v>13</v>
      </c>
      <c r="C28" s="10">
        <v>26</v>
      </c>
      <c r="D28" s="13">
        <v>39</v>
      </c>
      <c r="E28" s="10"/>
      <c r="F28" s="10"/>
      <c r="G28" s="10"/>
    </row>
    <row r="29" spans="1:7" x14ac:dyDescent="0.25">
      <c r="A29" s="7" t="s">
        <v>128</v>
      </c>
      <c r="B29" s="10">
        <v>1</v>
      </c>
      <c r="C29" s="10"/>
      <c r="D29" s="13">
        <v>1</v>
      </c>
      <c r="E29" s="10"/>
      <c r="F29" s="10"/>
      <c r="G29" s="10"/>
    </row>
    <row r="30" spans="1:7" x14ac:dyDescent="0.25">
      <c r="A30" s="7" t="s">
        <v>134</v>
      </c>
      <c r="B30" s="10"/>
      <c r="C30" s="10">
        <v>2</v>
      </c>
      <c r="D30" s="13">
        <v>2</v>
      </c>
      <c r="E30" s="10"/>
      <c r="F30" s="10"/>
      <c r="G30" s="10"/>
    </row>
    <row r="31" spans="1:7" x14ac:dyDescent="0.25">
      <c r="A31" s="7" t="s">
        <v>110</v>
      </c>
      <c r="B31" s="10">
        <v>6</v>
      </c>
      <c r="C31" s="10">
        <v>2</v>
      </c>
      <c r="D31" s="13">
        <v>8</v>
      </c>
      <c r="E31" s="10"/>
      <c r="F31" s="10"/>
      <c r="G31" s="10"/>
    </row>
    <row r="32" spans="1:7" x14ac:dyDescent="0.25">
      <c r="A32" s="7" t="s">
        <v>152</v>
      </c>
      <c r="B32" s="10"/>
      <c r="C32" s="10">
        <v>2</v>
      </c>
      <c r="D32" s="13">
        <v>2</v>
      </c>
      <c r="E32" s="10"/>
      <c r="F32" s="10"/>
      <c r="G32" s="10"/>
    </row>
    <row r="33" spans="1:8" x14ac:dyDescent="0.25">
      <c r="A33" s="7" t="s">
        <v>97</v>
      </c>
      <c r="B33" s="10">
        <v>10</v>
      </c>
      <c r="C33" s="10"/>
      <c r="D33" s="13">
        <v>10</v>
      </c>
      <c r="E33" s="10"/>
      <c r="F33" s="10">
        <v>3</v>
      </c>
      <c r="G33" s="10">
        <v>3</v>
      </c>
      <c r="H33" t="s">
        <v>249</v>
      </c>
    </row>
    <row r="34" spans="1:8" x14ac:dyDescent="0.25">
      <c r="A34" s="7" t="s">
        <v>66</v>
      </c>
      <c r="B34" s="10">
        <v>7</v>
      </c>
      <c r="C34" s="10"/>
      <c r="D34" s="13">
        <v>7</v>
      </c>
      <c r="E34" s="10"/>
      <c r="F34" s="10">
        <v>3</v>
      </c>
      <c r="G34" s="10">
        <v>3</v>
      </c>
      <c r="H34" t="s">
        <v>250</v>
      </c>
    </row>
    <row r="35" spans="1:8" x14ac:dyDescent="0.25">
      <c r="A35" s="7" t="s">
        <v>155</v>
      </c>
      <c r="B35" s="10"/>
      <c r="C35" s="10">
        <v>3</v>
      </c>
      <c r="D35" s="13">
        <v>3</v>
      </c>
      <c r="E35" s="10"/>
      <c r="F35" s="10"/>
      <c r="G35" s="10"/>
    </row>
    <row r="36" spans="1:8" x14ac:dyDescent="0.25">
      <c r="A36" s="7" t="s">
        <v>61</v>
      </c>
      <c r="B36" s="10">
        <v>2</v>
      </c>
      <c r="C36" s="10">
        <v>5</v>
      </c>
      <c r="D36" s="13">
        <v>7</v>
      </c>
      <c r="E36" s="10"/>
      <c r="F36" s="10"/>
      <c r="G36" s="10"/>
    </row>
    <row r="37" spans="1:8" x14ac:dyDescent="0.25">
      <c r="A37" s="7" t="s">
        <v>170</v>
      </c>
      <c r="B37" s="10"/>
      <c r="C37" s="10">
        <v>1</v>
      </c>
      <c r="D37" s="13">
        <v>1</v>
      </c>
      <c r="E37" s="10"/>
      <c r="F37" s="10"/>
      <c r="G37" s="10"/>
      <c r="H37" t="s">
        <v>251</v>
      </c>
    </row>
    <row r="38" spans="1:8" x14ac:dyDescent="0.25">
      <c r="A38" s="7" t="s">
        <v>142</v>
      </c>
      <c r="B38" s="10"/>
      <c r="C38" s="10">
        <v>3</v>
      </c>
      <c r="D38" s="13">
        <v>3</v>
      </c>
      <c r="E38" s="10"/>
      <c r="F38" s="10"/>
      <c r="G38" s="10"/>
    </row>
    <row r="39" spans="1:8" x14ac:dyDescent="0.25">
      <c r="A39" s="7" t="s">
        <v>157</v>
      </c>
      <c r="B39" s="10"/>
      <c r="C39" s="10">
        <v>1</v>
      </c>
      <c r="D39" s="13">
        <v>1</v>
      </c>
      <c r="E39" s="10"/>
      <c r="F39" s="10"/>
      <c r="G39" s="10"/>
      <c r="H39" t="s">
        <v>252</v>
      </c>
    </row>
    <row r="40" spans="1:8" x14ac:dyDescent="0.25">
      <c r="A40" s="7" t="s">
        <v>47</v>
      </c>
      <c r="B40" s="10">
        <v>1</v>
      </c>
      <c r="C40" s="10"/>
      <c r="D40" s="13">
        <v>1</v>
      </c>
      <c r="E40" s="10"/>
      <c r="F40" s="10"/>
      <c r="G40" s="10"/>
    </row>
    <row r="41" spans="1:8" x14ac:dyDescent="0.25">
      <c r="A41" s="7" t="s">
        <v>114</v>
      </c>
      <c r="B41" s="10">
        <v>1</v>
      </c>
      <c r="C41" s="10"/>
      <c r="D41" s="13">
        <v>1</v>
      </c>
      <c r="E41" s="10"/>
      <c r="F41" s="10"/>
      <c r="G41" s="10"/>
    </row>
    <row r="42" spans="1:8" x14ac:dyDescent="0.25">
      <c r="A42" s="7" t="s">
        <v>54</v>
      </c>
      <c r="B42" s="10">
        <v>2</v>
      </c>
      <c r="C42" s="10"/>
      <c r="D42" s="13">
        <v>2</v>
      </c>
      <c r="E42" s="10"/>
      <c r="F42" s="10"/>
      <c r="G42" s="10"/>
    </row>
    <row r="43" spans="1:8" x14ac:dyDescent="0.25">
      <c r="A43" s="7" t="s">
        <v>77</v>
      </c>
      <c r="B43" s="10">
        <v>1</v>
      </c>
      <c r="C43" s="10">
        <v>1</v>
      </c>
      <c r="D43" s="13">
        <v>2</v>
      </c>
      <c r="E43" s="10"/>
      <c r="F43" s="10"/>
      <c r="G43" s="10"/>
    </row>
    <row r="44" spans="1:8" x14ac:dyDescent="0.25">
      <c r="A44" s="7" t="s">
        <v>108</v>
      </c>
      <c r="B44" s="10">
        <v>16</v>
      </c>
      <c r="C44" s="10">
        <v>4</v>
      </c>
      <c r="D44" s="13">
        <v>20</v>
      </c>
      <c r="E44" s="10"/>
      <c r="F44" s="10"/>
      <c r="G44" s="10"/>
    </row>
    <row r="45" spans="1:8" x14ac:dyDescent="0.25">
      <c r="A45" s="7" t="s">
        <v>139</v>
      </c>
      <c r="B45" s="10"/>
      <c r="C45" s="10">
        <v>4</v>
      </c>
      <c r="D45" s="13">
        <v>4</v>
      </c>
      <c r="E45" s="10"/>
      <c r="F45" s="10"/>
      <c r="G45" s="10"/>
    </row>
    <row r="46" spans="1:8" x14ac:dyDescent="0.25">
      <c r="A46" s="7" t="s">
        <v>33</v>
      </c>
      <c r="B46" s="10">
        <v>8</v>
      </c>
      <c r="C46" s="10">
        <v>5</v>
      </c>
      <c r="D46" s="13">
        <v>13</v>
      </c>
      <c r="E46" s="10"/>
      <c r="F46" s="10"/>
      <c r="G46" s="10"/>
    </row>
    <row r="47" spans="1:8" x14ac:dyDescent="0.25">
      <c r="A47" s="7" t="s">
        <v>148</v>
      </c>
      <c r="B47" s="10"/>
      <c r="C47" s="10">
        <v>5</v>
      </c>
      <c r="D47" s="13">
        <v>5</v>
      </c>
      <c r="E47" s="10"/>
      <c r="F47" s="10"/>
      <c r="G47" s="10"/>
    </row>
    <row r="48" spans="1:8" x14ac:dyDescent="0.25">
      <c r="A48" s="7" t="s">
        <v>85</v>
      </c>
      <c r="B48" s="10">
        <v>13</v>
      </c>
      <c r="C48" s="10"/>
      <c r="D48" s="13">
        <v>13</v>
      </c>
      <c r="E48" s="10"/>
      <c r="F48" s="10"/>
      <c r="G48" s="10"/>
    </row>
    <row r="49" spans="1:8" x14ac:dyDescent="0.25">
      <c r="A49" s="7" t="s">
        <v>112</v>
      </c>
      <c r="B49" s="10">
        <v>6</v>
      </c>
      <c r="C49" s="10"/>
      <c r="D49" s="13">
        <v>6</v>
      </c>
      <c r="E49" s="10"/>
      <c r="F49" s="10"/>
      <c r="G49" s="10"/>
    </row>
    <row r="50" spans="1:8" x14ac:dyDescent="0.25">
      <c r="A50" s="7" t="s">
        <v>116</v>
      </c>
      <c r="B50" s="10">
        <v>1</v>
      </c>
      <c r="C50" s="10"/>
      <c r="D50" s="13">
        <v>1</v>
      </c>
      <c r="E50" s="10"/>
      <c r="F50" s="10"/>
      <c r="G50" s="10"/>
    </row>
    <row r="51" spans="1:8" x14ac:dyDescent="0.25">
      <c r="A51" s="7" t="s">
        <v>238</v>
      </c>
      <c r="B51" s="10"/>
      <c r="C51" s="10">
        <v>10</v>
      </c>
      <c r="D51" s="13">
        <v>10</v>
      </c>
      <c r="E51" s="10"/>
      <c r="F51" s="10"/>
      <c r="G51" s="10"/>
    </row>
    <row r="52" spans="1:8" x14ac:dyDescent="0.25">
      <c r="A52" s="7" t="s">
        <v>87</v>
      </c>
      <c r="B52" s="10">
        <v>5</v>
      </c>
      <c r="C52" s="10"/>
      <c r="D52" s="13">
        <v>5</v>
      </c>
      <c r="E52" s="10"/>
      <c r="F52" s="10">
        <v>3</v>
      </c>
      <c r="G52" s="10">
        <v>3</v>
      </c>
      <c r="H52" t="s">
        <v>253</v>
      </c>
    </row>
    <row r="53" spans="1:8" x14ac:dyDescent="0.25">
      <c r="A53" s="7" t="s">
        <v>146</v>
      </c>
      <c r="B53" s="10"/>
      <c r="C53" s="10">
        <v>2</v>
      </c>
      <c r="D53" s="13">
        <v>2</v>
      </c>
      <c r="E53" s="10"/>
      <c r="F53" s="10"/>
      <c r="G53" s="10"/>
      <c r="H53" t="s">
        <v>254</v>
      </c>
    </row>
    <row r="54" spans="1:8" x14ac:dyDescent="0.25">
      <c r="A54" s="7" t="s">
        <v>240</v>
      </c>
      <c r="B54" s="10">
        <v>208</v>
      </c>
      <c r="C54" s="10">
        <v>141</v>
      </c>
      <c r="D54" s="12">
        <v>349</v>
      </c>
      <c r="E54" s="10">
        <v>25</v>
      </c>
      <c r="F54" s="10">
        <v>20</v>
      </c>
      <c r="G54" s="10">
        <v>45</v>
      </c>
    </row>
  </sheetData>
  <mergeCells count="2">
    <mergeCell ref="E1:G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C4C1-4E52-48A0-AA1C-5D89B55C6628}">
  <dimension ref="A1:B48"/>
  <sheetViews>
    <sheetView tabSelected="1" workbookViewId="0">
      <selection activeCell="E9" sqref="E9"/>
    </sheetView>
  </sheetViews>
  <sheetFormatPr defaultRowHeight="15" x14ac:dyDescent="0.25"/>
  <cols>
    <col min="1" max="1" width="32.85546875" bestFit="1" customWidth="1"/>
    <col min="2" max="2" width="11.140625" bestFit="1" customWidth="1"/>
  </cols>
  <sheetData>
    <row r="1" spans="1:2" x14ac:dyDescent="0.25">
      <c r="A1" s="18" t="s">
        <v>259</v>
      </c>
      <c r="B1" s="18" t="s">
        <v>260</v>
      </c>
    </row>
    <row r="2" spans="1:2" x14ac:dyDescent="0.25">
      <c r="A2" s="7" t="s">
        <v>75</v>
      </c>
      <c r="B2" s="5">
        <v>1</v>
      </c>
    </row>
    <row r="3" spans="1:2" x14ac:dyDescent="0.25">
      <c r="A3" s="7" t="s">
        <v>125</v>
      </c>
      <c r="B3" s="5">
        <v>4</v>
      </c>
    </row>
    <row r="4" spans="1:2" x14ac:dyDescent="0.25">
      <c r="A4" s="7" t="s">
        <v>162</v>
      </c>
      <c r="B4" s="5">
        <v>3</v>
      </c>
    </row>
    <row r="5" spans="1:2" x14ac:dyDescent="0.25">
      <c r="A5" s="7" t="s">
        <v>36</v>
      </c>
      <c r="B5" s="5">
        <v>8</v>
      </c>
    </row>
    <row r="6" spans="1:2" x14ac:dyDescent="0.25">
      <c r="A6" s="7" t="s">
        <v>196</v>
      </c>
      <c r="B6" s="5">
        <v>1</v>
      </c>
    </row>
    <row r="7" spans="1:2" x14ac:dyDescent="0.25">
      <c r="A7" s="7" t="s">
        <v>81</v>
      </c>
      <c r="B7" s="5">
        <v>7</v>
      </c>
    </row>
    <row r="8" spans="1:2" x14ac:dyDescent="0.25">
      <c r="A8" s="7" t="s">
        <v>29</v>
      </c>
      <c r="B8" s="5">
        <v>10</v>
      </c>
    </row>
    <row r="9" spans="1:2" x14ac:dyDescent="0.25">
      <c r="A9" s="7" t="s">
        <v>43</v>
      </c>
      <c r="B9" s="5">
        <v>2</v>
      </c>
    </row>
    <row r="10" spans="1:2" x14ac:dyDescent="0.25">
      <c r="A10" s="7" t="s">
        <v>40</v>
      </c>
      <c r="B10" s="5">
        <v>15</v>
      </c>
    </row>
    <row r="11" spans="1:2" x14ac:dyDescent="0.25">
      <c r="A11" s="7" t="s">
        <v>38</v>
      </c>
      <c r="B11" s="5">
        <v>6</v>
      </c>
    </row>
    <row r="12" spans="1:2" x14ac:dyDescent="0.25">
      <c r="A12" s="7" t="s">
        <v>57</v>
      </c>
      <c r="B12" s="5">
        <v>2</v>
      </c>
    </row>
    <row r="13" spans="1:2" x14ac:dyDescent="0.25">
      <c r="A13" s="7" t="s">
        <v>106</v>
      </c>
      <c r="B13" s="5">
        <v>13</v>
      </c>
    </row>
    <row r="14" spans="1:2" x14ac:dyDescent="0.25">
      <c r="A14" s="7" t="s">
        <v>51</v>
      </c>
      <c r="B14" s="5">
        <v>3</v>
      </c>
    </row>
    <row r="15" spans="1:2" x14ac:dyDescent="0.25">
      <c r="A15" s="7" t="s">
        <v>71</v>
      </c>
      <c r="B15" s="5">
        <v>37</v>
      </c>
    </row>
    <row r="16" spans="1:2" x14ac:dyDescent="0.25">
      <c r="A16" s="7" t="s">
        <v>103</v>
      </c>
      <c r="B16" s="5">
        <v>8</v>
      </c>
    </row>
    <row r="17" spans="1:2" x14ac:dyDescent="0.25">
      <c r="A17" s="7" t="s">
        <v>45</v>
      </c>
      <c r="B17" s="5">
        <v>19</v>
      </c>
    </row>
    <row r="18" spans="1:2" x14ac:dyDescent="0.25">
      <c r="A18" s="7" t="s">
        <v>165</v>
      </c>
      <c r="B18" s="5">
        <v>1</v>
      </c>
    </row>
    <row r="19" spans="1:2" x14ac:dyDescent="0.25">
      <c r="A19" s="7" t="s">
        <v>73</v>
      </c>
      <c r="B19" s="5">
        <v>1</v>
      </c>
    </row>
    <row r="20" spans="1:2" x14ac:dyDescent="0.25">
      <c r="A20" s="7" t="s">
        <v>222</v>
      </c>
      <c r="B20" s="5">
        <v>3</v>
      </c>
    </row>
    <row r="21" spans="1:2" x14ac:dyDescent="0.25">
      <c r="A21" s="7" t="s">
        <v>215</v>
      </c>
      <c r="B21" s="5">
        <v>1</v>
      </c>
    </row>
    <row r="22" spans="1:2" x14ac:dyDescent="0.25">
      <c r="A22" s="7" t="s">
        <v>90</v>
      </c>
      <c r="B22" s="5">
        <v>29</v>
      </c>
    </row>
    <row r="23" spans="1:2" x14ac:dyDescent="0.25">
      <c r="A23" s="7" t="s">
        <v>49</v>
      </c>
      <c r="B23" s="5">
        <v>6</v>
      </c>
    </row>
    <row r="24" spans="1:2" x14ac:dyDescent="0.25">
      <c r="A24" s="7" t="s">
        <v>63</v>
      </c>
      <c r="B24" s="5">
        <v>39</v>
      </c>
    </row>
    <row r="25" spans="1:2" x14ac:dyDescent="0.25">
      <c r="A25" s="7" t="s">
        <v>128</v>
      </c>
      <c r="B25" s="5">
        <v>1</v>
      </c>
    </row>
    <row r="26" spans="1:2" x14ac:dyDescent="0.25">
      <c r="A26" s="7" t="s">
        <v>134</v>
      </c>
      <c r="B26" s="5">
        <v>2</v>
      </c>
    </row>
    <row r="27" spans="1:2" x14ac:dyDescent="0.25">
      <c r="A27" s="7" t="s">
        <v>110</v>
      </c>
      <c r="B27" s="5">
        <v>8</v>
      </c>
    </row>
    <row r="28" spans="1:2" x14ac:dyDescent="0.25">
      <c r="A28" s="7" t="s">
        <v>152</v>
      </c>
      <c r="B28" s="5">
        <v>2</v>
      </c>
    </row>
    <row r="29" spans="1:2" x14ac:dyDescent="0.25">
      <c r="A29" s="7" t="s">
        <v>97</v>
      </c>
      <c r="B29" s="5">
        <v>10</v>
      </c>
    </row>
    <row r="30" spans="1:2" x14ac:dyDescent="0.25">
      <c r="A30" s="7" t="s">
        <v>66</v>
      </c>
      <c r="B30" s="5">
        <v>7</v>
      </c>
    </row>
    <row r="31" spans="1:2" x14ac:dyDescent="0.25">
      <c r="A31" s="7" t="s">
        <v>155</v>
      </c>
      <c r="B31" s="5">
        <v>3</v>
      </c>
    </row>
    <row r="32" spans="1:2" x14ac:dyDescent="0.25">
      <c r="A32" s="7" t="s">
        <v>61</v>
      </c>
      <c r="B32" s="5">
        <v>7</v>
      </c>
    </row>
    <row r="33" spans="1:2" x14ac:dyDescent="0.25">
      <c r="A33" s="7" t="s">
        <v>170</v>
      </c>
      <c r="B33" s="5">
        <v>1</v>
      </c>
    </row>
    <row r="34" spans="1:2" x14ac:dyDescent="0.25">
      <c r="A34" s="7" t="s">
        <v>142</v>
      </c>
      <c r="B34" s="5">
        <v>3</v>
      </c>
    </row>
    <row r="35" spans="1:2" x14ac:dyDescent="0.25">
      <c r="A35" s="7" t="s">
        <v>157</v>
      </c>
      <c r="B35" s="5">
        <v>1</v>
      </c>
    </row>
    <row r="36" spans="1:2" x14ac:dyDescent="0.25">
      <c r="A36" s="7" t="s">
        <v>47</v>
      </c>
      <c r="B36" s="5">
        <v>1</v>
      </c>
    </row>
    <row r="37" spans="1:2" x14ac:dyDescent="0.25">
      <c r="A37" s="7" t="s">
        <v>114</v>
      </c>
      <c r="B37" s="5">
        <v>1</v>
      </c>
    </row>
    <row r="38" spans="1:2" x14ac:dyDescent="0.25">
      <c r="A38" s="7" t="s">
        <v>54</v>
      </c>
      <c r="B38" s="5">
        <v>2</v>
      </c>
    </row>
    <row r="39" spans="1:2" x14ac:dyDescent="0.25">
      <c r="A39" s="7" t="s">
        <v>77</v>
      </c>
      <c r="B39" s="5">
        <v>2</v>
      </c>
    </row>
    <row r="40" spans="1:2" x14ac:dyDescent="0.25">
      <c r="A40" s="7" t="s">
        <v>108</v>
      </c>
      <c r="B40" s="5">
        <v>20</v>
      </c>
    </row>
    <row r="41" spans="1:2" x14ac:dyDescent="0.25">
      <c r="A41" s="7" t="s">
        <v>139</v>
      </c>
      <c r="B41" s="5">
        <v>4</v>
      </c>
    </row>
    <row r="42" spans="1:2" x14ac:dyDescent="0.25">
      <c r="A42" s="7" t="s">
        <v>33</v>
      </c>
      <c r="B42" s="5">
        <v>13</v>
      </c>
    </row>
    <row r="43" spans="1:2" x14ac:dyDescent="0.25">
      <c r="A43" s="7" t="s">
        <v>148</v>
      </c>
      <c r="B43" s="5">
        <v>5</v>
      </c>
    </row>
    <row r="44" spans="1:2" x14ac:dyDescent="0.25">
      <c r="A44" s="7" t="s">
        <v>85</v>
      </c>
      <c r="B44" s="5">
        <v>13</v>
      </c>
    </row>
    <row r="45" spans="1:2" x14ac:dyDescent="0.25">
      <c r="A45" s="7" t="s">
        <v>112</v>
      </c>
      <c r="B45" s="5">
        <v>6</v>
      </c>
    </row>
    <row r="46" spans="1:2" x14ac:dyDescent="0.25">
      <c r="A46" s="7" t="s">
        <v>116</v>
      </c>
      <c r="B46" s="5">
        <v>1</v>
      </c>
    </row>
    <row r="47" spans="1:2" x14ac:dyDescent="0.25">
      <c r="A47" s="7" t="s">
        <v>238</v>
      </c>
      <c r="B47" s="5">
        <v>10</v>
      </c>
    </row>
    <row r="48" spans="1:2" x14ac:dyDescent="0.25">
      <c r="A48" s="7" t="s">
        <v>87</v>
      </c>
      <c r="B48" s="5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CL_Bird_Survey_Data_2020_0717</vt:lpstr>
      <vt:lpstr>PTable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2020-07-17T13:02:46Z</dcterms:created>
  <dcterms:modified xsi:type="dcterms:W3CDTF">2020-07-23T18:08:14Z</dcterms:modified>
</cp:coreProperties>
</file>