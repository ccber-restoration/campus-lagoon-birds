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cosystem_Management\Management_Areas\Campus_Lagoon\Bird_Survey_Data\"/>
    </mc:Choice>
  </mc:AlternateContent>
  <bookViews>
    <workbookView xWindow="0" yWindow="0" windowWidth="28800" windowHeight="11850" activeTab="1"/>
  </bookViews>
  <sheets>
    <sheet name="Survey_Metadata" sheetId="2" r:id="rId1"/>
    <sheet name="CL_Bird_Observations_20180917" sheetId="1" r:id="rId2"/>
    <sheet name="PTable" sheetId="3" r:id="rId3"/>
  </sheets>
  <definedNames>
    <definedName name="_xlnm._FilterDatabase" localSheetId="1" hidden="1">CL_Bird_Observations_20180917!$A$1:$AG$162</definedName>
  </definedNames>
  <calcPr calcId="162913" iterateDelta="1E-4" concurrentCalc="0"/>
  <pivotCaches>
    <pivotCache cacheId="2" r:id="rId4"/>
  </pivotCaches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2" i="1"/>
</calcChain>
</file>

<file path=xl/sharedStrings.xml><?xml version="1.0" encoding="utf-8"?>
<sst xmlns="http://schemas.openxmlformats.org/spreadsheetml/2006/main" count="1146" uniqueCount="270">
  <si>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</si>
  <si>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</si>
  <si>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</si>
  <si>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</si>
  <si>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</si>
  <si>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</si>
  <si>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</si>
  <si>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</si>
  <si>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</si>
  <si>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</si>
  <si>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</si>
  <si>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</si>
  <si>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</si>
  <si>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</si>
  <si>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</si>
  <si>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</si>
  <si>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</si>
  <si>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</si>
  <si>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</si>
  <si>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</si>
  <si>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</si>
  <si>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</si>
  <si>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</si>
  <si>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</si>
  <si>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</si>
  <si>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</si>
  <si>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</si>
  <si>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</si>
  <si>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</si>
  <si>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</si>
  <si>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</si>
  <si>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Song Sparrow</t>
  </si>
  <si>
    <t>No</t>
  </si>
  <si>
    <t>Vegetation - Shrub</t>
  </si>
  <si>
    <t>{63E94C61-B778-4614-8F7B-44FD58098067}</t>
  </si>
  <si>
    <t>clark@ccber.ucsb.edu_ucsb</t>
  </si>
  <si>
    <t>Common Yellowthroat</t>
  </si>
  <si>
    <t>{51AF760F-9A04-445A-A055-FA9013D7F0C1}</t>
  </si>
  <si>
    <t>{F4990F15-1CA7-4EE3-832F-7CC43A6348A9}</t>
  </si>
  <si>
    <t>Killdeer</t>
  </si>
  <si>
    <t>{01E2BFDA-31DC-4928-87C6-3A073065F30C}</t>
  </si>
  <si>
    <t>Pied-billed Grebe</t>
  </si>
  <si>
    <t>Water - Floating</t>
  </si>
  <si>
    <t>{F7D9A79A-913A-4CD4-9CD8-640B427ACB80}</t>
  </si>
  <si>
    <t>Black-necked Stilt</t>
  </si>
  <si>
    <t>Water - Wading</t>
  </si>
  <si>
    <t>{ED863A64-325B-4C78-9AEC-B4A2C4343D99}</t>
  </si>
  <si>
    <t>Snowy Egret</t>
  </si>
  <si>
    <t>{98753382-315B-4837-AF7E-4691E3B88D5D}</t>
  </si>
  <si>
    <t>{B6066670-B91D-45D1-BB07-07A501769976}</t>
  </si>
  <si>
    <t>Anna's Hummingbird</t>
  </si>
  <si>
    <t>Vegetation - Tree</t>
  </si>
  <si>
    <t>{15AEF601-6DB4-432F-BE58-FAB1588C0182}</t>
  </si>
  <si>
    <t>Bushtit</t>
  </si>
  <si>
    <t>{CB854D69-6B06-42E5-8C34-F2D698E5F026}</t>
  </si>
  <si>
    <t>Great Blue Heron</t>
  </si>
  <si>
    <t>{F9058A2A-27BE-4BFE-B458-060C101B4AE4}</t>
  </si>
  <si>
    <t>{BD3606BC-FFDB-4654-BBCB-34BFEE0CDB6A}</t>
  </si>
  <si>
    <t>Blue-gray Gnatcatcher</t>
  </si>
  <si>
    <t>{E3928E2A-F2D9-4F13-93EB-39F86CDA066E}</t>
  </si>
  <si>
    <t>Double-crested Cormorant</t>
  </si>
  <si>
    <t>{FD7F8085-8457-4B16-B36A-6CE5DFDC0DFD}</t>
  </si>
  <si>
    <t>Northern Mockingbird</t>
  </si>
  <si>
    <t>{13D568AD-6710-4D1B-B6AB-C79D85F3BBE2}</t>
  </si>
  <si>
    <t>{839A758B-CD8B-46D9-BDCC-8240CA92A779}</t>
  </si>
  <si>
    <t>{437F6723-DDD9-40EA-AB08-DF72CF21F683}</t>
  </si>
  <si>
    <t>Orange-crowned Warbler</t>
  </si>
  <si>
    <t>{3F91FBCF-C61C-4539-9D1A-9BD5217AA9F9}</t>
  </si>
  <si>
    <t>House Wren</t>
  </si>
  <si>
    <t>{A7F8B749-A934-4738-9A21-FC23ABE108DE}</t>
  </si>
  <si>
    <t>Vegetation - Herbaceous</t>
  </si>
  <si>
    <t>{E5198C2C-EF4C-4439-BF14-505A0EB97187}</t>
  </si>
  <si>
    <t>{5137A78A-5A30-43E9-A1FF-E54732193538}</t>
  </si>
  <si>
    <t>{337A6988-79A6-4BFC-8AB8-A35834B68621}</t>
  </si>
  <si>
    <t>{817180AF-3E4E-43D2-A257-DBB9A368AB1E}</t>
  </si>
  <si>
    <t>Western Scrub-Jay</t>
  </si>
  <si>
    <t>{DEAE5E0F-8332-4FE2-B27B-A17AA8186064}</t>
  </si>
  <si>
    <t>Long-billed Curlew</t>
  </si>
  <si>
    <t>{98F19179-BDD5-486D-A18E-B7D0ADC570C0}</t>
  </si>
  <si>
    <t>Whimbrel</t>
  </si>
  <si>
    <t>{CB55AEE1-049C-4F61-A3B5-0306FC43D74E}</t>
  </si>
  <si>
    <t>Western Sandpiper</t>
  </si>
  <si>
    <t>{0EDA7054-6F4B-4E5D-8663-F129BF6903E7}</t>
  </si>
  <si>
    <t>Sanderling</t>
  </si>
  <si>
    <t>{ECA2A775-B289-4B5D-99F6-F48017596CC7}</t>
  </si>
  <si>
    <t>Western Gull</t>
  </si>
  <si>
    <t>{8E6D9073-D77C-4D33-97E5-49BCA9DA633D}</t>
  </si>
  <si>
    <t>Semipalmated Plover</t>
  </si>
  <si>
    <t>{A26C526F-D1DB-4C66-8306-D0A3799A3CEC}</t>
  </si>
  <si>
    <t>Black Turnstone</t>
  </si>
  <si>
    <t>{03EB1106-FCCA-4FF4-B6BF-154D00882CC5}</t>
  </si>
  <si>
    <t>Black-bellied Plover</t>
  </si>
  <si>
    <t>{91E6B076-3928-4B40-A79C-1DD2EC41AC37}</t>
  </si>
  <si>
    <t>Black Phoebe</t>
  </si>
  <si>
    <t>{38D8D225-D398-471C-8E4F-34902034CBB1}</t>
  </si>
  <si>
    <t>{7FC9D8DD-0433-49C5-A0A8-CDA2A60FF848}</t>
  </si>
  <si>
    <t>{8578FD4A-F306-470F-ADAF-906E7FEFF0DA}</t>
  </si>
  <si>
    <t>Loggerhead Shrike</t>
  </si>
  <si>
    <t>{E8A68634-E04B-45AD-8FC7-69916B37181C}</t>
  </si>
  <si>
    <t>Belted Kingfisher</t>
  </si>
  <si>
    <t>F</t>
  </si>
  <si>
    <t>{1B90F11F-89A1-4AAF-9E00-B655A884488E}</t>
  </si>
  <si>
    <t>Bewick's Wren</t>
  </si>
  <si>
    <t>{0162F3BE-48DD-45FC-9E0C-E24C6BB7F29D}</t>
  </si>
  <si>
    <t>{028BB088-F0E3-4E4B-B635-E3D7B3542216}</t>
  </si>
  <si>
    <t>California Towhee</t>
  </si>
  <si>
    <t>{BAD3F633-F9B4-4567-84C4-A2ACCAC9A9FB}</t>
  </si>
  <si>
    <t>House Finch</t>
  </si>
  <si>
    <t>{474B6FBF-FF51-429E-BDB5-8245BB9F4ED2}</t>
  </si>
  <si>
    <t>{74812E25-68A1-4DE8-9DF8-98B7E73F961E}</t>
  </si>
  <si>
    <t>{10F9EAB0-7F77-4D65-A89D-2B4E5244186C}</t>
  </si>
  <si>
    <t>American Crow</t>
  </si>
  <si>
    <t>{7E86DA6D-B78A-4462-B933-329F3440C9ED}</t>
  </si>
  <si>
    <t>{8695BB9A-E9B0-4A7D-9EA7-B6F44F55A706}</t>
  </si>
  <si>
    <t>{9B25C3FE-6F46-44C7-BF2F-4BF9E8AC5BA8}</t>
  </si>
  <si>
    <t>California Thrasher</t>
  </si>
  <si>
    <t>{5D77CF7D-3C3B-41AC-9C0D-60B18CA2ED03}</t>
  </si>
  <si>
    <t>{84EA514F-529F-4294-996F-FF9D0CB217B2}</t>
  </si>
  <si>
    <t>Eurasian Collared Dove</t>
  </si>
  <si>
    <t>{D7243FBE-44E8-42D9-BDD5-F7F58DA5E191}</t>
  </si>
  <si>
    <t>{8EB5ACF8-F6B6-4144-8497-2DB716DE57F1}</t>
  </si>
  <si>
    <t>{360B9123-E2D9-4317-8DD5-A91F81BB5DBA}</t>
  </si>
  <si>
    <t>{C2C8E544-B319-472A-A17E-F3DD55041CB8}</t>
  </si>
  <si>
    <t>Hutton's Vireo</t>
  </si>
  <si>
    <t>{ABA30CE5-1431-4AE5-A45F-CAFA52DF04EC}</t>
  </si>
  <si>
    <t>{23E7083B-C43A-4FE6-90B0-A4EAD7310397}</t>
  </si>
  <si>
    <t>Black-crowned Night Heron</t>
  </si>
  <si>
    <t>Yes</t>
  </si>
  <si>
    <t>{E68150A7-B8B2-426E-BE6A-A1ED3FB0335F}</t>
  </si>
  <si>
    <t>{8C18D045-5ACD-43F7-8EA9-56A654D8DEE0}</t>
  </si>
  <si>
    <t>{683F57B6-D3D0-4075-BCB7-DB64FBAF5E53}</t>
  </si>
  <si>
    <t>{95FDF9AC-4B59-4F5A-A0EC-3B61353A26AD}</t>
  </si>
  <si>
    <t>{758E6ED8-5848-419D-BB69-593D3DCEA91A}</t>
  </si>
  <si>
    <t>{EF86F50C-B34D-4B97-9F38-A1A52DD20BBC}</t>
  </si>
  <si>
    <t>{0ED335F1-BBBA-42C9-9E89-A19B0EF29168}</t>
  </si>
  <si>
    <t>{2CFFF6F1-9553-498E-869F-02335543FE23}</t>
  </si>
  <si>
    <t>{2529F985-7297-4318-AA93-2E10F1A6ED6B}</t>
  </si>
  <si>
    <t>{B967AC8E-4547-4770-99B6-36CCBFE2818C}</t>
  </si>
  <si>
    <t>{B0EE071D-4EBB-4502-90EC-E2C162ACCA75}</t>
  </si>
  <si>
    <t>{B484072C-38ED-4749-B3D4-B72B050EC9EC}</t>
  </si>
  <si>
    <t>{06B036E3-9A1C-40D6-B9A1-F1E38E687575}</t>
  </si>
  <si>
    <t>{F7AACD05-DC29-48A0-9C7C-380CD8150493}</t>
  </si>
  <si>
    <t>730</t>
  </si>
  <si>
    <t>None</t>
  </si>
  <si>
    <t>{8A3CC31C-4FDB-4778-A4FA-9BE346CE025C}</t>
  </si>
  <si>
    <t>ccber_user</t>
  </si>
  <si>
    <t>{C525B514-FB62-4ACA-B17E-74B62BE2D58F}</t>
  </si>
  <si>
    <t>{0F486AB1-F7C9-4EA3-A42D-637915D2FB68}</t>
  </si>
  <si>
    <t>Mud</t>
  </si>
  <si>
    <t>{99A29FCE-2CF2-4CF2-B9EE-D1BB2D100564}</t>
  </si>
  <si>
    <t>{0F4092B5-BD2D-4A7F-A74C-BF9775FB2C4E}</t>
  </si>
  <si>
    <t>Greater Yellowlegs</t>
  </si>
  <si>
    <t>{A514A438-A35F-487E-9FBC-3E65EBFE80D9}</t>
  </si>
  <si>
    <t>Cooper's Hawk</t>
  </si>
  <si>
    <t>{109E3B08-CAED-4B95-88D5-E7D6E869EC14}</t>
  </si>
  <si>
    <t>{5D783DA1-FDBB-4F48-BA8E-79BE08E281BF}</t>
  </si>
  <si>
    <t>{E0F863BE-F49E-454A-8880-C98C4A360D46}</t>
  </si>
  <si>
    <t>{2349FD2B-AAE7-4CC3-96EB-81F992575D9C}</t>
  </si>
  <si>
    <t>{A3541F45-CC95-43BE-B8A6-02A45A816F71}</t>
  </si>
  <si>
    <t>{62BE0FEA-A9D3-4F1B-82CF-454497D9F3C3}</t>
  </si>
  <si>
    <t>{DEEED81E-35D2-42D1-9772-852FD68ECE8B}</t>
  </si>
  <si>
    <t>American Coot</t>
  </si>
  <si>
    <t>{430E5598-AFE4-44D9-9F0A-5FA460EAF10B}</t>
  </si>
  <si>
    <t>{400A6865-16E0-441F-B8AD-00E814E1F753}</t>
  </si>
  <si>
    <t>Ruddy Duck</t>
  </si>
  <si>
    <t>{148D8C7B-AFFA-49FD-B2C4-2B4E4420DF50}</t>
  </si>
  <si>
    <t>{5AC33DD5-7460-4A3C-8D1C-B98B6B55202A}</t>
  </si>
  <si>
    <t>Brown Pelican</t>
  </si>
  <si>
    <t>{935C315B-0568-4480-87CA-F63DE3220271}</t>
  </si>
  <si>
    <t>{411FFF56-FDF9-4044-9DEE-9E413CE136AD}</t>
  </si>
  <si>
    <t>{5E6B4C6F-ABCF-47F1-A652-A4C922B01DBD}</t>
  </si>
  <si>
    <t>{4212DD7E-36E6-40E3-A63F-3D5E4E0B15D8}</t>
  </si>
  <si>
    <t>{3CFD4771-1CD4-4E5E-9BA1-D6FAA86BC967}</t>
  </si>
  <si>
    <t>{0065DFF1-45AF-4901-B4D1-F827DB6C1F64}</t>
  </si>
  <si>
    <t>Mallard</t>
  </si>
  <si>
    <t>{3A4D3E57-D79C-4FC3-8B75-A21BCB67305F}</t>
  </si>
  <si>
    <t>{5204244F-2C39-4144-8AF8-6E6B1CD128A7}</t>
  </si>
  <si>
    <t>{8968D675-E03B-4A44-B121-13637227B4BE}</t>
  </si>
  <si>
    <t>{42B37492-1EC1-4E45-9CD2-3771CBA0C583}</t>
  </si>
  <si>
    <t>{3D0A60B7-FC12-4922-A912-48EC5F9634CF}</t>
  </si>
  <si>
    <t>{E1E1FAF4-06D3-42AE-ACEE-DDC898FFA08A}</t>
  </si>
  <si>
    <t>{A32E46D0-8981-4356-A5F6-AF5F76840FE8}</t>
  </si>
  <si>
    <t>{7943CD85-5269-4ADA-8C89-AFBF542690E7}</t>
  </si>
  <si>
    <t>Scaly-breasted Munia</t>
  </si>
  <si>
    <t>{8F81598C-2F25-4C9F-86EA-67B12ADB1B8A}</t>
  </si>
  <si>
    <t>{23EC113C-8FB9-4EFE-9B56-6A5B75856614}</t>
  </si>
  <si>
    <t>Mourning Dove</t>
  </si>
  <si>
    <t>{7EADA456-AA0A-427F-A5E0-69DE1A4CE3B1}</t>
  </si>
  <si>
    <t>{D5BBC523-FE18-4E94-8E0E-DD1F45A31E47}</t>
  </si>
  <si>
    <t>{1D4DDD08-1C47-4E6E-99B2-442A815FDBD4}</t>
  </si>
  <si>
    <t>House Sparrow</t>
  </si>
  <si>
    <t>{411A2A1C-F874-47FA-B8D6-E9F2817CF899}</t>
  </si>
  <si>
    <t>{AA433D8B-A593-4B80-A345-AF85323FFB59}</t>
  </si>
  <si>
    <t>{5A44244B-3C62-42D1-B0ED-244C6E1B0584}</t>
  </si>
  <si>
    <t>{FB3BAD2C-3484-4BAC-A636-5E92887F18B8}</t>
  </si>
  <si>
    <t>{CB5CA60B-0F0D-4A51-8B6A-4D1E656DC310}</t>
  </si>
  <si>
    <t>{993FCF38-4069-4DF2-AD27-E36A176B1398}</t>
  </si>
  <si>
    <t>fishing in water in a frenzy</t>
  </si>
  <si>
    <t>{165A9A54-710D-465C-BFD0-FBEB7640AF2B}</t>
  </si>
  <si>
    <t>Great Egret</t>
  </si>
  <si>
    <t>{8C3E5ABC-35C7-4BF5-9EC6-BC603A690B4F}</t>
  </si>
  <si>
    <t>{25478F75-F20E-4978-A39F-5CCC3268511C}</t>
  </si>
  <si>
    <t>{794EB7B7-0BEC-4B57-B530-9058049524E3}</t>
  </si>
  <si>
    <t>{20CF353E-5BCA-4566-ACA0-F61CB84BA910}</t>
  </si>
  <si>
    <t>Yellow-rumped Warbler</t>
  </si>
  <si>
    <t>{D90C57BC-DF88-4908-9C7C-3FC33454F955}</t>
  </si>
  <si>
    <t>Western Wood-Pewee</t>
  </si>
  <si>
    <t>{D79A790E-ADE7-45D1-BCAC-430854CF73F8}</t>
  </si>
  <si>
    <t>tanager</t>
  </si>
  <si>
    <t>{E2792D7F-5DD3-4D18-A8C5-9E831D88941C}</t>
  </si>
  <si>
    <t>{71E758D1-DE46-40F1-A186-9761D0B1964C}</t>
  </si>
  <si>
    <t>{4587129E-C574-4214-AF8D-148105AB98FE}</t>
  </si>
  <si>
    <t>{DB23ED22-8DDF-4B70-973E-4A347157F038}</t>
  </si>
  <si>
    <t>Belding’s Savannah Sparrow</t>
  </si>
  <si>
    <t>{1B89D3CB-2E4C-4718-BDAC-F120F76D60D8}</t>
  </si>
  <si>
    <t>{D9DAF732-2AD5-46D7-B5C1-DADACC9B90C8}</t>
  </si>
  <si>
    <t>{CE0AF4E2-8C78-4B00-BF08-F10BE67FC03D}</t>
  </si>
  <si>
    <t>{65A3245B-0306-4BE7-A572-FDF3D51A8CA7}</t>
  </si>
  <si>
    <t>Willet</t>
  </si>
  <si>
    <t>{8F70E2CB-AFA1-4D98-A6B5-BFAEBA8DF250}</t>
  </si>
  <si>
    <t>{6090627E-4EC8-4425-9EDA-2C7BAFF184B0}</t>
  </si>
  <si>
    <t>Ring-billed Gull</t>
  </si>
  <si>
    <t>{20267FDB-88F6-4F45-87C1-FB4D98D866CA}</t>
  </si>
  <si>
    <t>{92D855C0-2254-48DE-94CE-A686F6B047A7}</t>
  </si>
  <si>
    <t>{C95204B1-36FD-498D-A2FF-B06E97954D92}</t>
  </si>
  <si>
    <t>{E0BF0765-64CF-4DBF-AE10-9EDBE9E90E72}</t>
  </si>
  <si>
    <t>{F1EB883C-F64E-41B8-9D8A-473F5DECADEF}</t>
  </si>
  <si>
    <t>{C51EA4B8-EE19-4D26-8426-D29383FA7BDC}</t>
  </si>
  <si>
    <t>{6D6FE126-15FB-42BE-957D-778A78B54C0F}</t>
  </si>
  <si>
    <t>{0092646C-3920-45CE-AA8C-A21332753A8F}</t>
  </si>
  <si>
    <t>{038C2519-0274-42DD-B4E6-D1DB5499598A}</t>
  </si>
  <si>
    <t>{E05DE240-CE25-4015-A6E3-5AB5EEEE6B69}</t>
  </si>
  <si>
    <t>{EA550116-8BA9-477C-B817-3F223D2422ED}</t>
  </si>
  <si>
    <t>{EEE01F25-4F6C-40F7-B07A-08B556AAF80E}</t>
  </si>
  <si>
    <t>{0EC0D936-3AEF-43D7-9A41-20E8E6204239}</t>
  </si>
  <si>
    <t>{80588DF3-3808-48EE-9735-B506F6DA39F4}</t>
  </si>
  <si>
    <t>{1FF850D3-C390-4CCB-84A9-3205BD4BED02}</t>
  </si>
  <si>
    <t>{DC1CD9A9-15F1-4708-BB7C-496EA1411D29}</t>
  </si>
  <si>
    <t>{E9011A52-9CB8-4746-BA8E-00380429DF9B}</t>
  </si>
  <si>
    <t>{3E1A1C90-1ED9-4E8A-827D-C15AB8ADE55D}</t>
  </si>
  <si>
    <t>{93D91C5D-6437-4EF3-AA02-F5BBC6C72EA6}</t>
  </si>
  <si>
    <t>{581E5381-B65A-474C-9F98-F165B7B52BAF}</t>
  </si>
  <si>
    <t>{8BE7EE74-8FC9-404D-970E-9588C587D9EE}</t>
  </si>
  <si>
    <t>{BCCF0100-814F-4625-B3DD-AFB28390CD39}</t>
  </si>
  <si>
    <t>Least Sandpiper</t>
  </si>
  <si>
    <t>{2DFC0C12-33A5-4EBD-B63C-8B379CE6767B}</t>
  </si>
  <si>
    <t>{72F29508-0FA5-4C4D-AA58-8D017E8BC9C8}</t>
  </si>
  <si>
    <t>{273E7CB0-5255-48BC-B51C-4302C7381BEF}</t>
  </si>
  <si>
    <t>{629C1902-14BE-4607-92D2-B8C41F900CAF}</t>
  </si>
  <si>
    <t>{FA9E4B45-674F-44B1-A924-24F1686260A2}</t>
  </si>
  <si>
    <t>{503772B3-835A-4931-8436-1A30D5AD3D96}</t>
  </si>
  <si>
    <t>{5D2113CF-476C-4357-B8F1-710FAA523E21}</t>
  </si>
  <si>
    <t>{9AA02FF0-1391-4BCF-A981-448A11893F5C}</t>
  </si>
  <si>
    <t>{82EBDAAD-D314-4ED3-916E-9FFF6CADADA0}</t>
  </si>
  <si>
    <t>{3696039B-3A13-4830-9AA1-9C5605702CD1}</t>
  </si>
  <si>
    <t>{654521EF-A781-4D01-85CE-827ECA77521F}</t>
  </si>
  <si>
    <t>930</t>
  </si>
  <si>
    <t>{261CAA78-71A6-4CAE-8891-35E84E10063E}</t>
  </si>
  <si>
    <t>Tanager (Western?)</t>
  </si>
  <si>
    <t>Dan fontaine, Lisa stratton</t>
  </si>
  <si>
    <t>Darwin Richardson, Steven Ortega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</si>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</sst>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:mm:ss"/>
    <numFmt numFmtId="167" formatCode="h:mm;@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5B5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/>
  </cellStyleXfs>
  <cellXfs count="26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NumberFormat="1" applyFill="1" applyAlignment="1">
      <alignment horizontal="center"/>
    </xf>
    <xf numFmtId="0" fontId="2" fillId="5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167" fontId="0" fillId="0" borderId="0" xfId="0" applyNumberFormat="1" applyAlignment="1">
      <alignment horizontal="center"/>
    </xf>
    <xf numFmtId="0" fontId="0" fillId="3" borderId="0" xfId="0" applyFill="1" applyAlignment="1">
      <alignment horizontal="left"/>
    </xf>
    <xf numFmtId="14" fontId="0" fillId="3" borderId="0" xfId="0" applyNumberFormat="1" applyFill="1"/>
    <xf numFmtId="167" fontId="0" fillId="3" borderId="0" xfId="0" applyNumberFormat="1" applyFill="1" applyAlignment="1">
      <alignment horizontal="center"/>
    </xf>
    <xf numFmtId="0" fontId="0" fillId="3" borderId="0" xfId="0" applyFill="1"/>
    <xf numFmtId="164" fontId="0" fillId="3" borderId="0" xfId="0" applyNumberFormat="1" applyFill="1"/>
  </cellXfs>
  <cellStyles count="2">
    <cellStyle name="Normal" xfId="0" builtinId="0"/>
    <cellStyle name="Style0" xfId="1"/>
  </cellStyles>
  <dxfs count="24">
    <dxf>
      <fill>
        <patternFill>
          <bgColor rgb="FFFF5B5B"/>
        </patternFill>
      </fill>
    </dxf>
    <dxf>
      <fill>
        <patternFill>
          <bgColor rgb="FFFF5B5B"/>
        </patternFill>
      </fill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360.575565277781" createdVersion="6" refreshedVersion="6" minRefreshableVersion="3" recordCount="161">
  <cacheSource type="worksheet">
    <worksheetSource ref="A1:K162" sheet="CL_Bird_Observations_20180917"/>
  </cacheSource>
  <cacheFields count="10">
    <cacheField name="OBJECTID" numFmtId="0">
      <sharedItems containsSemiMixedTypes="0" containsString="0" containsNumber="1" containsInteger="1" minValue="1" maxValue="161"/>
    </cacheField>
    <cacheField name="Date" numFmtId="14">
      <sharedItems containsSemiMixedTypes="0" containsNonDate="0" containsDate="1" containsString="0" minDate="2018-09-17T00:00:00" maxDate="2018-09-18T00:00:00"/>
    </cacheField>
    <cacheField name="Species" numFmtId="0">
      <sharedItems count="51">
        <s v="Song Sparrow"/>
        <s v="Common Yellowthroat"/>
        <s v="Killdeer"/>
        <s v="Pied-billed Grebe"/>
        <s v="Black-necked Stilt"/>
        <s v="Snowy Egret"/>
        <s v="Anna's Hummingbird"/>
        <s v="Bushtit"/>
        <s v="Great Blue Heron"/>
        <s v="Blue-gray Gnatcatcher"/>
        <s v="Double-crested Cormorant"/>
        <s v="Northern Mockingbird"/>
        <s v="Orange-crowned Warbler"/>
        <s v="House Wren"/>
        <s v="Western Scrub-Jay"/>
        <s v="Long-billed Curlew"/>
        <s v="Whimbrel"/>
        <s v="Western Sandpiper"/>
        <s v="Sanderling"/>
        <s v="Western Gull"/>
        <s v="Semipalmated Plover"/>
        <s v="Black Turnstone"/>
        <s v="Black-bellied Plover"/>
        <s v="Black Phoebe"/>
        <s v="Loggerhead Shrike"/>
        <s v="Belted Kingfisher"/>
        <s v="Bewick's Wren"/>
        <s v="California Towhee"/>
        <s v="House Finch"/>
        <s v="American Crow"/>
        <s v="California Thrasher"/>
        <s v="Eurasian Collared Dove"/>
        <s v="Hutton's Vireo"/>
        <s v="Black-crowned Night Heron"/>
        <s v="Greater Yellowlegs"/>
        <s v="Cooper's Hawk"/>
        <s v="American Coot"/>
        <s v="Ruddy Duck"/>
        <s v="Brown Pelican"/>
        <s v="Mallard"/>
        <s v="Scaly-breasted Munia"/>
        <s v="Mourning Dove"/>
        <s v="House Sparrow"/>
        <s v="Great Egret"/>
        <s v="Yellow-rumped Warbler"/>
        <s v="Western Wood-Pewee"/>
        <s v="Tanager (Western?)"/>
        <s v="Belding’s Savannah Sparrow"/>
        <s v="Willet"/>
        <s v="Ring-billed Gull"/>
        <s v="Least Sandpiper"/>
      </sharedItems>
    </cacheField>
    <cacheField name="Count" numFmtId="0">
      <sharedItems containsString="0" containsBlank="1" containsNumber="1" containsInteger="1" minValue="1" maxValue="32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Observers" numFmtId="0">
      <sharedItems count="2">
        <s v="Darwin Richardson, Steven Ortega"/>
        <s v="Dan fontaine, Lisa stratt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1">
  <r>
    <n v="1"/>
    <d v="2018-09-17T00:00:00"/>
    <x v="0"/>
    <n v="1"/>
    <x v="0"/>
    <s v="Vegetation - Shrub"/>
    <m/>
    <m/>
    <m/>
    <x v="0"/>
  </r>
  <r>
    <n v="2"/>
    <d v="2018-09-17T00:00:00"/>
    <x v="1"/>
    <n v="1"/>
    <x v="0"/>
    <s v="Vegetation - Shrub"/>
    <m/>
    <m/>
    <m/>
    <x v="0"/>
  </r>
  <r>
    <n v="3"/>
    <d v="2018-09-17T00:00:00"/>
    <x v="1"/>
    <n v="1"/>
    <x v="0"/>
    <m/>
    <m/>
    <m/>
    <m/>
    <x v="0"/>
  </r>
  <r>
    <n v="4"/>
    <d v="2018-09-17T00:00:00"/>
    <x v="2"/>
    <n v="2"/>
    <x v="0"/>
    <m/>
    <m/>
    <m/>
    <m/>
    <x v="0"/>
  </r>
  <r>
    <n v="5"/>
    <d v="2018-09-17T00:00:00"/>
    <x v="3"/>
    <n v="5"/>
    <x v="0"/>
    <s v="Water - Floating"/>
    <m/>
    <m/>
    <m/>
    <x v="0"/>
  </r>
  <r>
    <n v="6"/>
    <d v="2018-09-17T00:00:00"/>
    <x v="4"/>
    <n v="5"/>
    <x v="0"/>
    <s v="Water - Wading"/>
    <m/>
    <m/>
    <m/>
    <x v="0"/>
  </r>
  <r>
    <n v="7"/>
    <d v="2018-09-17T00:00:00"/>
    <x v="5"/>
    <n v="1"/>
    <x v="0"/>
    <s v="Water - Wading"/>
    <m/>
    <m/>
    <m/>
    <x v="0"/>
  </r>
  <r>
    <n v="8"/>
    <d v="2018-09-17T00:00:00"/>
    <x v="3"/>
    <n v="3"/>
    <x v="0"/>
    <s v="Water - Floating"/>
    <m/>
    <m/>
    <m/>
    <x v="0"/>
  </r>
  <r>
    <n v="9"/>
    <d v="2018-09-17T00:00:00"/>
    <x v="6"/>
    <n v="1"/>
    <x v="0"/>
    <s v="Vegetation - Tree"/>
    <m/>
    <m/>
    <m/>
    <x v="0"/>
  </r>
  <r>
    <n v="10"/>
    <d v="2018-09-17T00:00:00"/>
    <x v="7"/>
    <n v="5"/>
    <x v="0"/>
    <s v="Vegetation - Tree"/>
    <m/>
    <m/>
    <m/>
    <x v="0"/>
  </r>
  <r>
    <n v="11"/>
    <d v="2018-09-17T00:00:00"/>
    <x v="8"/>
    <n v="1"/>
    <x v="0"/>
    <s v="Vegetation - Tree"/>
    <m/>
    <m/>
    <m/>
    <x v="0"/>
  </r>
  <r>
    <n v="12"/>
    <d v="2018-09-17T00:00:00"/>
    <x v="6"/>
    <n v="1"/>
    <x v="0"/>
    <s v="Vegetation - Shrub"/>
    <m/>
    <m/>
    <m/>
    <x v="0"/>
  </r>
  <r>
    <n v="13"/>
    <d v="2018-09-17T00:00:00"/>
    <x v="9"/>
    <n v="1"/>
    <x v="0"/>
    <s v="Vegetation - Shrub"/>
    <m/>
    <m/>
    <m/>
    <x v="0"/>
  </r>
  <r>
    <n v="14"/>
    <d v="2018-09-17T00:00:00"/>
    <x v="10"/>
    <n v="1"/>
    <x v="0"/>
    <s v="Water - Floating"/>
    <m/>
    <m/>
    <m/>
    <x v="0"/>
  </r>
  <r>
    <n v="15"/>
    <d v="2018-09-17T00:00:00"/>
    <x v="11"/>
    <n v="1"/>
    <x v="0"/>
    <s v="Vegetation - Tree"/>
    <m/>
    <m/>
    <m/>
    <x v="0"/>
  </r>
  <r>
    <n v="16"/>
    <d v="2018-09-17T00:00:00"/>
    <x v="7"/>
    <n v="5"/>
    <x v="0"/>
    <s v="Vegetation - Shrub"/>
    <m/>
    <m/>
    <m/>
    <x v="0"/>
  </r>
  <r>
    <n v="17"/>
    <d v="2018-09-17T00:00:00"/>
    <x v="6"/>
    <n v="2"/>
    <x v="0"/>
    <s v="Vegetation - Tree"/>
    <m/>
    <m/>
    <m/>
    <x v="0"/>
  </r>
  <r>
    <n v="18"/>
    <d v="2018-09-17T00:00:00"/>
    <x v="12"/>
    <n v="1"/>
    <x v="0"/>
    <s v="Vegetation - Tree"/>
    <m/>
    <m/>
    <m/>
    <x v="0"/>
  </r>
  <r>
    <n v="19"/>
    <d v="2018-09-17T00:00:00"/>
    <x v="13"/>
    <n v="1"/>
    <x v="0"/>
    <s v="Vegetation - Shrub"/>
    <m/>
    <m/>
    <m/>
    <x v="0"/>
  </r>
  <r>
    <n v="20"/>
    <d v="2018-09-17T00:00:00"/>
    <x v="1"/>
    <n v="1"/>
    <x v="0"/>
    <s v="Vegetation - Herbaceous"/>
    <m/>
    <m/>
    <m/>
    <x v="0"/>
  </r>
  <r>
    <n v="21"/>
    <d v="2018-09-17T00:00:00"/>
    <x v="11"/>
    <n v="1"/>
    <x v="0"/>
    <s v="Vegetation - Shrub"/>
    <m/>
    <m/>
    <m/>
    <x v="0"/>
  </r>
  <r>
    <n v="22"/>
    <d v="2018-09-17T00:00:00"/>
    <x v="0"/>
    <n v="2"/>
    <x v="0"/>
    <s v="Vegetation - Shrub"/>
    <m/>
    <m/>
    <m/>
    <x v="0"/>
  </r>
  <r>
    <n v="23"/>
    <d v="2018-09-17T00:00:00"/>
    <x v="11"/>
    <n v="1"/>
    <x v="0"/>
    <s v="Vegetation - Shrub"/>
    <m/>
    <m/>
    <m/>
    <x v="0"/>
  </r>
  <r>
    <n v="24"/>
    <d v="2018-09-17T00:00:00"/>
    <x v="14"/>
    <n v="1"/>
    <x v="0"/>
    <s v="Vegetation - Tree"/>
    <m/>
    <m/>
    <m/>
    <x v="0"/>
  </r>
  <r>
    <n v="25"/>
    <d v="2018-09-17T00:00:00"/>
    <x v="15"/>
    <n v="1"/>
    <x v="0"/>
    <m/>
    <m/>
    <m/>
    <m/>
    <x v="0"/>
  </r>
  <r>
    <n v="26"/>
    <d v="2018-09-17T00:00:00"/>
    <x v="16"/>
    <n v="2"/>
    <x v="0"/>
    <m/>
    <m/>
    <m/>
    <m/>
    <x v="0"/>
  </r>
  <r>
    <n v="27"/>
    <d v="2018-09-17T00:00:00"/>
    <x v="17"/>
    <n v="30"/>
    <x v="0"/>
    <m/>
    <m/>
    <m/>
    <m/>
    <x v="0"/>
  </r>
  <r>
    <n v="28"/>
    <d v="2018-09-17T00:00:00"/>
    <x v="18"/>
    <n v="10"/>
    <x v="0"/>
    <m/>
    <m/>
    <m/>
    <m/>
    <x v="0"/>
  </r>
  <r>
    <n v="29"/>
    <d v="2018-09-17T00:00:00"/>
    <x v="19"/>
    <n v="2"/>
    <x v="0"/>
    <m/>
    <m/>
    <m/>
    <m/>
    <x v="0"/>
  </r>
  <r>
    <n v="30"/>
    <d v="2018-09-17T00:00:00"/>
    <x v="20"/>
    <n v="2"/>
    <x v="0"/>
    <m/>
    <m/>
    <m/>
    <m/>
    <x v="0"/>
  </r>
  <r>
    <n v="31"/>
    <d v="2018-09-17T00:00:00"/>
    <x v="21"/>
    <m/>
    <x v="0"/>
    <m/>
    <m/>
    <m/>
    <m/>
    <x v="0"/>
  </r>
  <r>
    <n v="32"/>
    <d v="2018-09-17T00:00:00"/>
    <x v="22"/>
    <n v="2"/>
    <x v="0"/>
    <m/>
    <m/>
    <m/>
    <m/>
    <x v="0"/>
  </r>
  <r>
    <n v="33"/>
    <d v="2018-09-17T00:00:00"/>
    <x v="23"/>
    <n v="1"/>
    <x v="0"/>
    <m/>
    <m/>
    <m/>
    <m/>
    <x v="0"/>
  </r>
  <r>
    <n v="34"/>
    <d v="2018-09-17T00:00:00"/>
    <x v="23"/>
    <m/>
    <x v="0"/>
    <m/>
    <m/>
    <m/>
    <m/>
    <x v="0"/>
  </r>
  <r>
    <n v="35"/>
    <d v="2018-09-17T00:00:00"/>
    <x v="0"/>
    <n v="1"/>
    <x v="0"/>
    <m/>
    <m/>
    <m/>
    <m/>
    <x v="0"/>
  </r>
  <r>
    <n v="36"/>
    <d v="2018-09-17T00:00:00"/>
    <x v="24"/>
    <n v="1"/>
    <x v="0"/>
    <s v="Vegetation - Tree"/>
    <m/>
    <m/>
    <m/>
    <x v="0"/>
  </r>
  <r>
    <n v="37"/>
    <d v="2018-09-17T00:00:00"/>
    <x v="25"/>
    <n v="1"/>
    <x v="0"/>
    <m/>
    <s v="F"/>
    <m/>
    <m/>
    <x v="0"/>
  </r>
  <r>
    <n v="38"/>
    <d v="2018-09-17T00:00:00"/>
    <x v="26"/>
    <n v="1"/>
    <x v="0"/>
    <m/>
    <m/>
    <m/>
    <m/>
    <x v="0"/>
  </r>
  <r>
    <n v="39"/>
    <d v="2018-09-17T00:00:00"/>
    <x v="23"/>
    <n v="1"/>
    <x v="0"/>
    <m/>
    <m/>
    <m/>
    <m/>
    <x v="0"/>
  </r>
  <r>
    <n v="40"/>
    <d v="2018-09-17T00:00:00"/>
    <x v="27"/>
    <n v="2"/>
    <x v="0"/>
    <m/>
    <m/>
    <m/>
    <m/>
    <x v="0"/>
  </r>
  <r>
    <n v="41"/>
    <d v="2018-09-17T00:00:00"/>
    <x v="28"/>
    <n v="3"/>
    <x v="0"/>
    <m/>
    <m/>
    <m/>
    <m/>
    <x v="0"/>
  </r>
  <r>
    <n v="42"/>
    <d v="2018-09-17T00:00:00"/>
    <x v="6"/>
    <n v="1"/>
    <x v="0"/>
    <m/>
    <m/>
    <m/>
    <m/>
    <x v="0"/>
  </r>
  <r>
    <n v="43"/>
    <d v="2018-09-17T00:00:00"/>
    <x v="23"/>
    <n v="1"/>
    <x v="0"/>
    <m/>
    <m/>
    <m/>
    <m/>
    <x v="0"/>
  </r>
  <r>
    <n v="44"/>
    <d v="2018-09-17T00:00:00"/>
    <x v="29"/>
    <n v="1"/>
    <x v="0"/>
    <m/>
    <m/>
    <m/>
    <m/>
    <x v="0"/>
  </r>
  <r>
    <n v="45"/>
    <d v="2018-09-17T00:00:00"/>
    <x v="29"/>
    <n v="10"/>
    <x v="0"/>
    <m/>
    <m/>
    <m/>
    <m/>
    <x v="0"/>
  </r>
  <r>
    <n v="46"/>
    <d v="2018-09-17T00:00:00"/>
    <x v="27"/>
    <n v="1"/>
    <x v="0"/>
    <m/>
    <m/>
    <m/>
    <m/>
    <x v="0"/>
  </r>
  <r>
    <n v="47"/>
    <d v="2018-09-17T00:00:00"/>
    <x v="30"/>
    <n v="1"/>
    <x v="0"/>
    <s v="Vegetation - Shrub"/>
    <m/>
    <m/>
    <m/>
    <x v="0"/>
  </r>
  <r>
    <n v="48"/>
    <d v="2018-09-17T00:00:00"/>
    <x v="19"/>
    <n v="1"/>
    <x v="0"/>
    <s v="Vegetation - Tree"/>
    <m/>
    <m/>
    <m/>
    <x v="0"/>
  </r>
  <r>
    <n v="49"/>
    <d v="2018-09-17T00:00:00"/>
    <x v="31"/>
    <n v="1"/>
    <x v="0"/>
    <m/>
    <m/>
    <m/>
    <m/>
    <x v="0"/>
  </r>
  <r>
    <n v="50"/>
    <d v="2018-09-17T00:00:00"/>
    <x v="31"/>
    <n v="1"/>
    <x v="0"/>
    <m/>
    <m/>
    <m/>
    <m/>
    <x v="0"/>
  </r>
  <r>
    <n v="51"/>
    <d v="2018-09-17T00:00:00"/>
    <x v="23"/>
    <n v="1"/>
    <x v="0"/>
    <m/>
    <m/>
    <m/>
    <m/>
    <x v="0"/>
  </r>
  <r>
    <n v="52"/>
    <d v="2018-09-17T00:00:00"/>
    <x v="31"/>
    <n v="1"/>
    <x v="0"/>
    <m/>
    <m/>
    <m/>
    <m/>
    <x v="0"/>
  </r>
  <r>
    <n v="53"/>
    <d v="2018-09-17T00:00:00"/>
    <x v="32"/>
    <n v="1"/>
    <x v="0"/>
    <m/>
    <m/>
    <m/>
    <m/>
    <x v="0"/>
  </r>
  <r>
    <n v="54"/>
    <d v="2018-09-17T00:00:00"/>
    <x v="6"/>
    <n v="1"/>
    <x v="0"/>
    <m/>
    <m/>
    <m/>
    <m/>
    <x v="0"/>
  </r>
  <r>
    <n v="55"/>
    <d v="2018-09-17T00:00:00"/>
    <x v="33"/>
    <n v="2"/>
    <x v="1"/>
    <m/>
    <m/>
    <m/>
    <m/>
    <x v="0"/>
  </r>
  <r>
    <n v="56"/>
    <d v="2018-09-17T00:00:00"/>
    <x v="10"/>
    <n v="18"/>
    <x v="1"/>
    <m/>
    <m/>
    <m/>
    <m/>
    <x v="0"/>
  </r>
  <r>
    <n v="57"/>
    <d v="2018-09-17T00:00:00"/>
    <x v="4"/>
    <n v="2"/>
    <x v="0"/>
    <m/>
    <m/>
    <m/>
    <m/>
    <x v="0"/>
  </r>
  <r>
    <n v="58"/>
    <d v="2018-09-17T00:00:00"/>
    <x v="25"/>
    <n v="1"/>
    <x v="1"/>
    <m/>
    <m/>
    <m/>
    <m/>
    <x v="0"/>
  </r>
  <r>
    <n v="59"/>
    <d v="2018-09-17T00:00:00"/>
    <x v="25"/>
    <n v="1"/>
    <x v="1"/>
    <m/>
    <m/>
    <m/>
    <m/>
    <x v="0"/>
  </r>
  <r>
    <n v="60"/>
    <d v="2018-09-17T00:00:00"/>
    <x v="1"/>
    <m/>
    <x v="0"/>
    <m/>
    <m/>
    <m/>
    <m/>
    <x v="0"/>
  </r>
  <r>
    <n v="61"/>
    <d v="2018-09-17T00:00:00"/>
    <x v="7"/>
    <n v="20"/>
    <x v="0"/>
    <m/>
    <m/>
    <m/>
    <m/>
    <x v="0"/>
  </r>
  <r>
    <n v="62"/>
    <d v="2018-09-17T00:00:00"/>
    <x v="1"/>
    <n v="2"/>
    <x v="0"/>
    <m/>
    <m/>
    <m/>
    <m/>
    <x v="0"/>
  </r>
  <r>
    <n v="63"/>
    <d v="2018-09-17T00:00:00"/>
    <x v="23"/>
    <n v="1"/>
    <x v="0"/>
    <m/>
    <m/>
    <m/>
    <m/>
    <x v="0"/>
  </r>
  <r>
    <n v="64"/>
    <d v="2018-09-17T00:00:00"/>
    <x v="28"/>
    <n v="5"/>
    <x v="0"/>
    <m/>
    <m/>
    <m/>
    <m/>
    <x v="0"/>
  </r>
  <r>
    <n v="65"/>
    <d v="2018-09-17T00:00:00"/>
    <x v="28"/>
    <n v="10"/>
    <x v="0"/>
    <m/>
    <m/>
    <m/>
    <m/>
    <x v="0"/>
  </r>
  <r>
    <n v="66"/>
    <d v="2018-09-17T00:00:00"/>
    <x v="23"/>
    <n v="2"/>
    <x v="0"/>
    <m/>
    <m/>
    <m/>
    <m/>
    <x v="0"/>
  </r>
  <r>
    <n v="67"/>
    <d v="2018-09-17T00:00:00"/>
    <x v="14"/>
    <n v="2"/>
    <x v="0"/>
    <m/>
    <m/>
    <m/>
    <m/>
    <x v="0"/>
  </r>
  <r>
    <n v="68"/>
    <d v="2018-09-17T00:00:00"/>
    <x v="31"/>
    <n v="3"/>
    <x v="0"/>
    <m/>
    <m/>
    <m/>
    <m/>
    <x v="0"/>
  </r>
  <r>
    <n v="69"/>
    <d v="2018-09-17T00:00:00"/>
    <x v="23"/>
    <n v="1"/>
    <x v="0"/>
    <s v="Vegetation - Shrub"/>
    <m/>
    <m/>
    <m/>
    <x v="1"/>
  </r>
  <r>
    <n v="70"/>
    <d v="2018-09-17T00:00:00"/>
    <x v="1"/>
    <n v="1"/>
    <x v="0"/>
    <s v="Vegetation - Shrub"/>
    <m/>
    <m/>
    <m/>
    <x v="1"/>
  </r>
  <r>
    <n v="71"/>
    <d v="2018-09-17T00:00:00"/>
    <x v="3"/>
    <n v="7"/>
    <x v="0"/>
    <s v="Water - Floating"/>
    <m/>
    <m/>
    <m/>
    <x v="1"/>
  </r>
  <r>
    <n v="72"/>
    <d v="2018-09-17T00:00:00"/>
    <x v="5"/>
    <n v="1"/>
    <x v="0"/>
    <s v="Mud"/>
    <m/>
    <m/>
    <m/>
    <x v="1"/>
  </r>
  <r>
    <n v="73"/>
    <d v="2018-09-17T00:00:00"/>
    <x v="25"/>
    <n v="1"/>
    <x v="0"/>
    <s v="Vegetation - Tree"/>
    <m/>
    <m/>
    <m/>
    <x v="1"/>
  </r>
  <r>
    <n v="74"/>
    <d v="2018-09-17T00:00:00"/>
    <x v="34"/>
    <n v="1"/>
    <x v="0"/>
    <m/>
    <m/>
    <m/>
    <m/>
    <x v="1"/>
  </r>
  <r>
    <n v="75"/>
    <d v="2018-09-17T00:00:00"/>
    <x v="35"/>
    <n v="1"/>
    <x v="0"/>
    <m/>
    <m/>
    <m/>
    <m/>
    <x v="1"/>
  </r>
  <r>
    <n v="76"/>
    <d v="2018-09-17T00:00:00"/>
    <x v="25"/>
    <n v="1"/>
    <x v="0"/>
    <s v="Vegetation - Tree"/>
    <m/>
    <m/>
    <m/>
    <x v="1"/>
  </r>
  <r>
    <n v="77"/>
    <d v="2018-09-17T00:00:00"/>
    <x v="28"/>
    <n v="8"/>
    <x v="0"/>
    <s v="Vegetation - Tree"/>
    <m/>
    <m/>
    <m/>
    <x v="1"/>
  </r>
  <r>
    <n v="78"/>
    <d v="2018-09-17T00:00:00"/>
    <x v="23"/>
    <n v="1"/>
    <x v="0"/>
    <s v="Vegetation - Tree"/>
    <m/>
    <m/>
    <m/>
    <x v="1"/>
  </r>
  <r>
    <n v="79"/>
    <d v="2018-09-17T00:00:00"/>
    <x v="1"/>
    <n v="1"/>
    <x v="0"/>
    <m/>
    <m/>
    <m/>
    <m/>
    <x v="1"/>
  </r>
  <r>
    <n v="80"/>
    <d v="2018-09-17T00:00:00"/>
    <x v="7"/>
    <n v="2"/>
    <x v="0"/>
    <m/>
    <m/>
    <m/>
    <m/>
    <x v="1"/>
  </r>
  <r>
    <n v="81"/>
    <d v="2018-09-17T00:00:00"/>
    <x v="19"/>
    <n v="1"/>
    <x v="0"/>
    <s v="Vegetation - Tree"/>
    <m/>
    <m/>
    <m/>
    <x v="1"/>
  </r>
  <r>
    <n v="82"/>
    <d v="2018-09-17T00:00:00"/>
    <x v="36"/>
    <n v="2"/>
    <x v="0"/>
    <s v="Water - Floating"/>
    <m/>
    <m/>
    <m/>
    <x v="1"/>
  </r>
  <r>
    <n v="83"/>
    <d v="2018-09-17T00:00:00"/>
    <x v="29"/>
    <n v="2"/>
    <x v="0"/>
    <s v="Vegetation - Tree"/>
    <m/>
    <m/>
    <m/>
    <x v="1"/>
  </r>
  <r>
    <n v="84"/>
    <d v="2018-09-17T00:00:00"/>
    <x v="37"/>
    <n v="1"/>
    <x v="0"/>
    <s v="Water - Floating"/>
    <m/>
    <m/>
    <m/>
    <x v="1"/>
  </r>
  <r>
    <n v="85"/>
    <d v="2018-09-17T00:00:00"/>
    <x v="10"/>
    <n v="4"/>
    <x v="0"/>
    <s v="Vegetation - Tree"/>
    <m/>
    <m/>
    <m/>
    <x v="1"/>
  </r>
  <r>
    <n v="86"/>
    <d v="2018-09-17T00:00:00"/>
    <x v="38"/>
    <n v="4"/>
    <x v="0"/>
    <s v="Vegetation - Tree"/>
    <m/>
    <m/>
    <m/>
    <x v="1"/>
  </r>
  <r>
    <n v="87"/>
    <d v="2018-09-17T00:00:00"/>
    <x v="19"/>
    <n v="1"/>
    <x v="0"/>
    <s v="Vegetation - Tree"/>
    <m/>
    <m/>
    <m/>
    <x v="1"/>
  </r>
  <r>
    <n v="88"/>
    <d v="2018-09-17T00:00:00"/>
    <x v="7"/>
    <n v="7"/>
    <x v="0"/>
    <s v="Vegetation - Shrub"/>
    <m/>
    <m/>
    <m/>
    <x v="1"/>
  </r>
  <r>
    <n v="89"/>
    <d v="2018-09-17T00:00:00"/>
    <x v="13"/>
    <n v="2"/>
    <x v="0"/>
    <s v="Vegetation - Shrub"/>
    <m/>
    <m/>
    <m/>
    <x v="1"/>
  </r>
  <r>
    <n v="90"/>
    <d v="2018-09-17T00:00:00"/>
    <x v="0"/>
    <n v="1"/>
    <x v="0"/>
    <m/>
    <m/>
    <m/>
    <m/>
    <x v="1"/>
  </r>
  <r>
    <n v="91"/>
    <d v="2018-09-17T00:00:00"/>
    <x v="1"/>
    <n v="1"/>
    <x v="0"/>
    <m/>
    <m/>
    <m/>
    <m/>
    <x v="1"/>
  </r>
  <r>
    <n v="92"/>
    <d v="2018-09-17T00:00:00"/>
    <x v="39"/>
    <n v="1"/>
    <x v="0"/>
    <s v="Water - Floating"/>
    <m/>
    <m/>
    <m/>
    <x v="1"/>
  </r>
  <r>
    <n v="93"/>
    <d v="2018-09-17T00:00:00"/>
    <x v="35"/>
    <n v="1"/>
    <x v="1"/>
    <s v="Vegetation - Tree"/>
    <m/>
    <m/>
    <m/>
    <x v="1"/>
  </r>
  <r>
    <n v="94"/>
    <d v="2018-09-17T00:00:00"/>
    <x v="23"/>
    <n v="1"/>
    <x v="0"/>
    <m/>
    <m/>
    <m/>
    <m/>
    <x v="1"/>
  </r>
  <r>
    <n v="95"/>
    <d v="2018-09-17T00:00:00"/>
    <x v="5"/>
    <n v="1"/>
    <x v="0"/>
    <m/>
    <m/>
    <m/>
    <m/>
    <x v="1"/>
  </r>
  <r>
    <n v="96"/>
    <d v="2018-09-17T00:00:00"/>
    <x v="0"/>
    <n v="1"/>
    <x v="0"/>
    <m/>
    <m/>
    <m/>
    <m/>
    <x v="1"/>
  </r>
  <r>
    <n v="97"/>
    <d v="2018-09-17T00:00:00"/>
    <x v="7"/>
    <n v="8"/>
    <x v="0"/>
    <m/>
    <m/>
    <m/>
    <m/>
    <x v="1"/>
  </r>
  <r>
    <n v="98"/>
    <d v="2018-09-17T00:00:00"/>
    <x v="9"/>
    <m/>
    <x v="0"/>
    <m/>
    <m/>
    <m/>
    <m/>
    <x v="1"/>
  </r>
  <r>
    <n v="99"/>
    <d v="2018-09-17T00:00:00"/>
    <x v="26"/>
    <n v="1"/>
    <x v="0"/>
    <m/>
    <m/>
    <m/>
    <m/>
    <x v="1"/>
  </r>
  <r>
    <n v="100"/>
    <d v="2018-09-17T00:00:00"/>
    <x v="40"/>
    <n v="4"/>
    <x v="0"/>
    <m/>
    <m/>
    <m/>
    <m/>
    <x v="1"/>
  </r>
  <r>
    <n v="101"/>
    <d v="2018-09-17T00:00:00"/>
    <x v="5"/>
    <n v="1"/>
    <x v="0"/>
    <m/>
    <m/>
    <m/>
    <m/>
    <x v="1"/>
  </r>
  <r>
    <n v="102"/>
    <d v="2018-09-17T00:00:00"/>
    <x v="41"/>
    <n v="1"/>
    <x v="0"/>
    <m/>
    <m/>
    <m/>
    <m/>
    <x v="1"/>
  </r>
  <r>
    <n v="103"/>
    <d v="2018-09-17T00:00:00"/>
    <x v="10"/>
    <n v="6"/>
    <x v="0"/>
    <m/>
    <m/>
    <m/>
    <m/>
    <x v="1"/>
  </r>
  <r>
    <n v="104"/>
    <d v="2018-09-17T00:00:00"/>
    <x v="10"/>
    <n v="19"/>
    <x v="0"/>
    <m/>
    <m/>
    <m/>
    <m/>
    <x v="1"/>
  </r>
  <r>
    <n v="105"/>
    <d v="2018-09-17T00:00:00"/>
    <x v="42"/>
    <n v="1"/>
    <x v="0"/>
    <m/>
    <m/>
    <m/>
    <m/>
    <x v="1"/>
  </r>
  <r>
    <n v="106"/>
    <d v="2018-09-17T00:00:00"/>
    <x v="19"/>
    <n v="1"/>
    <x v="0"/>
    <m/>
    <m/>
    <m/>
    <m/>
    <x v="1"/>
  </r>
  <r>
    <n v="107"/>
    <d v="2018-09-17T00:00:00"/>
    <x v="10"/>
    <n v="1"/>
    <x v="0"/>
    <m/>
    <m/>
    <m/>
    <m/>
    <x v="1"/>
  </r>
  <r>
    <n v="108"/>
    <d v="2018-09-17T00:00:00"/>
    <x v="0"/>
    <n v="2"/>
    <x v="0"/>
    <m/>
    <m/>
    <m/>
    <m/>
    <x v="1"/>
  </r>
  <r>
    <n v="109"/>
    <d v="2018-09-17T00:00:00"/>
    <x v="5"/>
    <n v="3"/>
    <x v="0"/>
    <m/>
    <m/>
    <m/>
    <m/>
    <x v="1"/>
  </r>
  <r>
    <n v="110"/>
    <d v="2018-09-17T00:00:00"/>
    <x v="8"/>
    <n v="1"/>
    <x v="0"/>
    <m/>
    <m/>
    <m/>
    <m/>
    <x v="1"/>
  </r>
  <r>
    <n v="111"/>
    <d v="2018-09-17T00:00:00"/>
    <x v="10"/>
    <n v="4"/>
    <x v="0"/>
    <s v="Water - Floating"/>
    <m/>
    <m/>
    <s v="fishing in water in a frenzy"/>
    <x v="1"/>
  </r>
  <r>
    <n v="112"/>
    <d v="2018-09-17T00:00:00"/>
    <x v="43"/>
    <n v="1"/>
    <x v="0"/>
    <m/>
    <m/>
    <m/>
    <m/>
    <x v="1"/>
  </r>
  <r>
    <n v="113"/>
    <d v="2018-09-17T00:00:00"/>
    <x v="5"/>
    <n v="1"/>
    <x v="0"/>
    <m/>
    <m/>
    <m/>
    <m/>
    <x v="1"/>
  </r>
  <r>
    <n v="114"/>
    <d v="2018-09-17T00:00:00"/>
    <x v="23"/>
    <n v="1"/>
    <x v="0"/>
    <m/>
    <m/>
    <m/>
    <m/>
    <x v="1"/>
  </r>
  <r>
    <n v="115"/>
    <d v="2018-09-17T00:00:00"/>
    <x v="28"/>
    <n v="4"/>
    <x v="0"/>
    <m/>
    <m/>
    <m/>
    <m/>
    <x v="1"/>
  </r>
  <r>
    <n v="116"/>
    <d v="2018-09-17T00:00:00"/>
    <x v="44"/>
    <n v="2"/>
    <x v="0"/>
    <m/>
    <m/>
    <m/>
    <m/>
    <x v="1"/>
  </r>
  <r>
    <n v="117"/>
    <d v="2018-09-17T00:00:00"/>
    <x v="45"/>
    <n v="1"/>
    <x v="0"/>
    <m/>
    <m/>
    <m/>
    <m/>
    <x v="1"/>
  </r>
  <r>
    <n v="118"/>
    <d v="2018-09-17T00:00:00"/>
    <x v="46"/>
    <n v="1"/>
    <x v="0"/>
    <m/>
    <m/>
    <m/>
    <s v="tanager"/>
    <x v="1"/>
  </r>
  <r>
    <n v="119"/>
    <d v="2018-09-17T00:00:00"/>
    <x v="0"/>
    <n v="1"/>
    <x v="0"/>
    <m/>
    <m/>
    <m/>
    <m/>
    <x v="1"/>
  </r>
  <r>
    <n v="120"/>
    <d v="2018-09-17T00:00:00"/>
    <x v="28"/>
    <n v="4"/>
    <x v="0"/>
    <m/>
    <m/>
    <m/>
    <m/>
    <x v="1"/>
  </r>
  <r>
    <n v="121"/>
    <d v="2018-09-17T00:00:00"/>
    <x v="27"/>
    <n v="1"/>
    <x v="0"/>
    <m/>
    <m/>
    <m/>
    <m/>
    <x v="1"/>
  </r>
  <r>
    <n v="122"/>
    <d v="2018-09-17T00:00:00"/>
    <x v="47"/>
    <n v="1"/>
    <x v="0"/>
    <m/>
    <m/>
    <m/>
    <m/>
    <x v="1"/>
  </r>
  <r>
    <n v="123"/>
    <d v="2018-09-17T00:00:00"/>
    <x v="6"/>
    <n v="1"/>
    <x v="0"/>
    <m/>
    <m/>
    <m/>
    <m/>
    <x v="1"/>
  </r>
  <r>
    <n v="124"/>
    <d v="2018-09-17T00:00:00"/>
    <x v="47"/>
    <n v="1"/>
    <x v="0"/>
    <m/>
    <m/>
    <m/>
    <m/>
    <x v="1"/>
  </r>
  <r>
    <n v="125"/>
    <d v="2018-09-17T00:00:00"/>
    <x v="22"/>
    <n v="2"/>
    <x v="0"/>
    <m/>
    <m/>
    <m/>
    <m/>
    <x v="1"/>
  </r>
  <r>
    <n v="126"/>
    <d v="2018-09-17T00:00:00"/>
    <x v="48"/>
    <n v="1"/>
    <x v="0"/>
    <m/>
    <m/>
    <m/>
    <m/>
    <x v="1"/>
  </r>
  <r>
    <n v="127"/>
    <d v="2018-09-17T00:00:00"/>
    <x v="18"/>
    <n v="5"/>
    <x v="0"/>
    <m/>
    <m/>
    <m/>
    <m/>
    <x v="1"/>
  </r>
  <r>
    <n v="128"/>
    <d v="2018-09-17T00:00:00"/>
    <x v="49"/>
    <n v="1"/>
    <x v="0"/>
    <m/>
    <m/>
    <m/>
    <m/>
    <x v="1"/>
  </r>
  <r>
    <n v="129"/>
    <d v="2018-09-17T00:00:00"/>
    <x v="23"/>
    <n v="1"/>
    <x v="0"/>
    <m/>
    <m/>
    <m/>
    <m/>
    <x v="1"/>
  </r>
  <r>
    <n v="130"/>
    <d v="2018-09-17T00:00:00"/>
    <x v="1"/>
    <n v="1"/>
    <x v="0"/>
    <m/>
    <m/>
    <m/>
    <m/>
    <x v="1"/>
  </r>
  <r>
    <n v="131"/>
    <d v="2018-09-17T00:00:00"/>
    <x v="26"/>
    <n v="1"/>
    <x v="0"/>
    <m/>
    <m/>
    <m/>
    <m/>
    <x v="1"/>
  </r>
  <r>
    <n v="132"/>
    <d v="2018-09-17T00:00:00"/>
    <x v="28"/>
    <n v="6"/>
    <x v="0"/>
    <m/>
    <m/>
    <m/>
    <m/>
    <x v="1"/>
  </r>
  <r>
    <n v="133"/>
    <d v="2018-09-17T00:00:00"/>
    <x v="21"/>
    <n v="7"/>
    <x v="0"/>
    <m/>
    <m/>
    <m/>
    <m/>
    <x v="1"/>
  </r>
  <r>
    <n v="134"/>
    <d v="2018-09-17T00:00:00"/>
    <x v="48"/>
    <n v="1"/>
    <x v="0"/>
    <m/>
    <m/>
    <m/>
    <m/>
    <x v="1"/>
  </r>
  <r>
    <n v="135"/>
    <d v="2018-09-17T00:00:00"/>
    <x v="34"/>
    <n v="2"/>
    <x v="0"/>
    <m/>
    <m/>
    <m/>
    <m/>
    <x v="1"/>
  </r>
  <r>
    <n v="136"/>
    <d v="2018-09-17T00:00:00"/>
    <x v="19"/>
    <m/>
    <x v="0"/>
    <m/>
    <m/>
    <m/>
    <m/>
    <x v="1"/>
  </r>
  <r>
    <n v="137"/>
    <d v="2018-09-17T00:00:00"/>
    <x v="18"/>
    <n v="7"/>
    <x v="0"/>
    <m/>
    <m/>
    <m/>
    <m/>
    <x v="1"/>
  </r>
  <r>
    <n v="138"/>
    <d v="2018-09-17T00:00:00"/>
    <x v="15"/>
    <n v="2"/>
    <x v="0"/>
    <m/>
    <m/>
    <m/>
    <m/>
    <x v="1"/>
  </r>
  <r>
    <n v="139"/>
    <d v="2018-09-17T00:00:00"/>
    <x v="6"/>
    <n v="1"/>
    <x v="0"/>
    <m/>
    <m/>
    <m/>
    <m/>
    <x v="1"/>
  </r>
  <r>
    <n v="140"/>
    <d v="2018-09-17T00:00:00"/>
    <x v="0"/>
    <n v="1"/>
    <x v="0"/>
    <m/>
    <m/>
    <m/>
    <m/>
    <x v="1"/>
  </r>
  <r>
    <n v="141"/>
    <d v="2018-09-17T00:00:00"/>
    <x v="1"/>
    <n v="1"/>
    <x v="0"/>
    <m/>
    <m/>
    <m/>
    <m/>
    <x v="1"/>
  </r>
  <r>
    <n v="142"/>
    <d v="2018-09-17T00:00:00"/>
    <x v="29"/>
    <n v="1"/>
    <x v="0"/>
    <m/>
    <m/>
    <m/>
    <m/>
    <x v="1"/>
  </r>
  <r>
    <n v="143"/>
    <d v="2018-09-17T00:00:00"/>
    <x v="3"/>
    <n v="2"/>
    <x v="0"/>
    <m/>
    <m/>
    <m/>
    <m/>
    <x v="1"/>
  </r>
  <r>
    <n v="144"/>
    <d v="2018-09-17T00:00:00"/>
    <x v="1"/>
    <n v="2"/>
    <x v="0"/>
    <m/>
    <m/>
    <m/>
    <m/>
    <x v="1"/>
  </r>
  <r>
    <n v="145"/>
    <d v="2018-09-17T00:00:00"/>
    <x v="0"/>
    <n v="1"/>
    <x v="0"/>
    <m/>
    <m/>
    <m/>
    <m/>
    <x v="1"/>
  </r>
  <r>
    <n v="146"/>
    <d v="2018-09-17T00:00:00"/>
    <x v="30"/>
    <n v="1"/>
    <x v="0"/>
    <m/>
    <m/>
    <m/>
    <m/>
    <x v="1"/>
  </r>
  <r>
    <n v="147"/>
    <d v="2018-09-17T00:00:00"/>
    <x v="22"/>
    <n v="4"/>
    <x v="0"/>
    <m/>
    <m/>
    <m/>
    <m/>
    <x v="1"/>
  </r>
  <r>
    <n v="148"/>
    <d v="2018-09-17T00:00:00"/>
    <x v="18"/>
    <n v="15"/>
    <x v="0"/>
    <m/>
    <m/>
    <m/>
    <m/>
    <x v="1"/>
  </r>
  <r>
    <n v="149"/>
    <d v="2018-09-17T00:00:00"/>
    <x v="17"/>
    <n v="4"/>
    <x v="0"/>
    <m/>
    <m/>
    <m/>
    <m/>
    <x v="1"/>
  </r>
  <r>
    <n v="150"/>
    <d v="2018-09-17T00:00:00"/>
    <x v="50"/>
    <n v="32"/>
    <x v="0"/>
    <m/>
    <m/>
    <m/>
    <m/>
    <x v="1"/>
  </r>
  <r>
    <n v="151"/>
    <d v="2018-09-17T00:00:00"/>
    <x v="23"/>
    <n v="1"/>
    <x v="0"/>
    <m/>
    <m/>
    <m/>
    <m/>
    <x v="1"/>
  </r>
  <r>
    <n v="152"/>
    <d v="2018-09-17T00:00:00"/>
    <x v="0"/>
    <n v="1"/>
    <x v="0"/>
    <m/>
    <m/>
    <m/>
    <m/>
    <x v="1"/>
  </r>
  <r>
    <n v="153"/>
    <d v="2018-09-17T00:00:00"/>
    <x v="11"/>
    <n v="1"/>
    <x v="0"/>
    <m/>
    <m/>
    <m/>
    <m/>
    <x v="1"/>
  </r>
  <r>
    <n v="154"/>
    <d v="2018-09-17T00:00:00"/>
    <x v="27"/>
    <n v="2"/>
    <x v="0"/>
    <m/>
    <m/>
    <m/>
    <m/>
    <x v="1"/>
  </r>
  <r>
    <n v="155"/>
    <d v="2018-09-17T00:00:00"/>
    <x v="9"/>
    <n v="1"/>
    <x v="0"/>
    <m/>
    <m/>
    <m/>
    <m/>
    <x v="1"/>
  </r>
  <r>
    <n v="156"/>
    <d v="2018-09-17T00:00:00"/>
    <x v="20"/>
    <n v="2"/>
    <x v="0"/>
    <m/>
    <m/>
    <m/>
    <m/>
    <x v="1"/>
  </r>
  <r>
    <n v="157"/>
    <d v="2018-09-17T00:00:00"/>
    <x v="17"/>
    <n v="1"/>
    <x v="0"/>
    <m/>
    <m/>
    <m/>
    <m/>
    <x v="1"/>
  </r>
  <r>
    <n v="158"/>
    <d v="2018-09-17T00:00:00"/>
    <x v="18"/>
    <n v="1"/>
    <x v="0"/>
    <m/>
    <m/>
    <m/>
    <m/>
    <x v="1"/>
  </r>
  <r>
    <n v="159"/>
    <d v="2018-09-17T00:00:00"/>
    <x v="0"/>
    <n v="2"/>
    <x v="0"/>
    <m/>
    <m/>
    <m/>
    <m/>
    <x v="1"/>
  </r>
  <r>
    <n v="160"/>
    <d v="2018-09-17T00:00:00"/>
    <x v="1"/>
    <n v="3"/>
    <x v="0"/>
    <m/>
    <m/>
    <m/>
    <m/>
    <x v="1"/>
  </r>
  <r>
    <n v="161"/>
    <d v="2018-09-17T00:00:00"/>
    <x v="24"/>
    <n v="1"/>
    <x v="1"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57" firstHeaderRow="1" firstDataRow="3" firstDataCol="1"/>
  <pivotFields count="10">
    <pivotField showAll="0"/>
    <pivotField numFmtId="14" showAll="0"/>
    <pivotField axis="axisRow" showAll="0">
      <items count="52">
        <item x="36"/>
        <item x="29"/>
        <item x="6"/>
        <item x="47"/>
        <item x="25"/>
        <item x="26"/>
        <item x="23"/>
        <item x="21"/>
        <item x="22"/>
        <item x="33"/>
        <item x="4"/>
        <item x="9"/>
        <item x="38"/>
        <item x="7"/>
        <item x="30"/>
        <item x="27"/>
        <item x="1"/>
        <item x="35"/>
        <item x="10"/>
        <item x="31"/>
        <item x="8"/>
        <item x="43"/>
        <item x="34"/>
        <item x="28"/>
        <item x="42"/>
        <item x="13"/>
        <item x="32"/>
        <item x="2"/>
        <item x="50"/>
        <item x="24"/>
        <item x="15"/>
        <item x="39"/>
        <item x="41"/>
        <item x="11"/>
        <item x="12"/>
        <item x="3"/>
        <item x="49"/>
        <item x="37"/>
        <item x="18"/>
        <item x="40"/>
        <item x="20"/>
        <item x="5"/>
        <item x="0"/>
        <item x="46"/>
        <item x="19"/>
        <item x="17"/>
        <item x="14"/>
        <item x="45"/>
        <item x="16"/>
        <item x="48"/>
        <item x="44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2">
    <field x="4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3" baseField="2" baseItem="0"/>
  </dataFields>
  <formats count="24">
    <format dxfId="23">
      <pivotArea outline="0" collapsedLevelsAreSubtotals="1" fieldPosition="0">
        <references count="1">
          <reference field="4" count="0" selected="0" defaultSubtotal="1"/>
        </references>
      </pivotArea>
    </format>
    <format dxfId="22">
      <pivotArea field="4" type="button" dataOnly="0" labelOnly="1" outline="0" axis="axisCol" fieldPosition="0"/>
    </format>
    <format dxfId="21">
      <pivotArea field="9" type="button" dataOnly="0" labelOnly="1" outline="0" axis="axisCol" fieldPosition="1"/>
    </format>
    <format dxfId="20">
      <pivotArea type="topRight" dataOnly="0" labelOnly="1" outline="0" fieldPosition="0"/>
    </format>
    <format dxfId="19">
      <pivotArea dataOnly="0" labelOnly="1" fieldPosition="0">
        <references count="1">
          <reference field="4" count="0"/>
        </references>
      </pivotArea>
    </format>
    <format dxfId="18">
      <pivotArea dataOnly="0" labelOnly="1" fieldPosition="0">
        <references count="1">
          <reference field="4" count="0" defaultSubtotal="1"/>
        </references>
      </pivotArea>
    </format>
    <format dxfId="17">
      <pivotArea dataOnly="0" labelOnly="1" fieldPosition="0">
        <references count="2">
          <reference field="4" count="1" selected="0">
            <x v="0"/>
          </reference>
          <reference field="9" count="0"/>
        </references>
      </pivotArea>
    </format>
    <format dxfId="16">
      <pivotArea dataOnly="0" labelOnly="1" fieldPosition="0">
        <references count="2">
          <reference field="4" count="1" selected="0">
            <x v="1"/>
          </reference>
          <reference field="9" count="0"/>
        </references>
      </pivotArea>
    </format>
    <format dxfId="15">
      <pivotArea outline="0" collapsedLevelsAreSubtotals="1" fieldPosition="0">
        <references count="1">
          <reference field="4" count="1" selected="0" defaultSubtotal="1">
            <x v="1"/>
          </reference>
        </references>
      </pivotArea>
    </format>
    <format dxfId="14">
      <pivotArea type="topRight" dataOnly="0" labelOnly="1" outline="0" offset="B1:D1" fieldPosition="0"/>
    </format>
    <format dxfId="13">
      <pivotArea dataOnly="0" labelOnly="1" fieldPosition="0">
        <references count="1">
          <reference field="4" count="1">
            <x v="1"/>
          </reference>
        </references>
      </pivotArea>
    </format>
    <format dxfId="12">
      <pivotArea dataOnly="0" labelOnly="1" fieldPosition="0">
        <references count="1">
          <reference field="4" count="1" defaultSubtotal="1">
            <x v="1"/>
          </reference>
        </references>
      </pivotArea>
    </format>
    <format dxfId="11">
      <pivotArea dataOnly="0" labelOnly="1" fieldPosition="0">
        <references count="2">
          <reference field="4" count="1" selected="0">
            <x v="1"/>
          </reference>
          <reference field="9" count="0"/>
        </references>
      </pivotArea>
    </format>
    <format dxfId="10">
      <pivotArea outline="0" collapsedLevelsAreSubtotals="1" fieldPosition="0">
        <references count="1">
          <reference field="4" count="1" selected="0" defaultSubtotal="1">
            <x v="0"/>
          </reference>
        </references>
      </pivotArea>
    </format>
    <format dxfId="9">
      <pivotArea type="topRight" dataOnly="0" labelOnly="1" outline="0" offset="A1" fieldPosition="0"/>
    </format>
    <format dxfId="8">
      <pivotArea dataOnly="0" labelOnly="1" fieldPosition="0">
        <references count="1">
          <reference field="4" count="1" defaultSubtotal="1">
            <x v="0"/>
          </reference>
        </references>
      </pivotArea>
    </format>
    <format dxfId="7">
      <pivotArea outline="0" collapsedLevelsAreSubtotals="1" fieldPosition="0">
        <references count="1">
          <reference field="4" count="1" selected="0" defaultSubtotal="1">
            <x v="0"/>
          </reference>
        </references>
      </pivotArea>
    </format>
    <format dxfId="6">
      <pivotArea type="topRight" dataOnly="0" labelOnly="1" outline="0" fieldPosition="0"/>
    </format>
    <format dxfId="5">
      <pivotArea dataOnly="0" labelOnly="1" fieldPosition="0">
        <references count="1">
          <reference field="4" count="1" defaultSubtotal="1">
            <x v="0"/>
          </reference>
        </references>
      </pivotArea>
    </format>
    <format dxfId="4">
      <pivotArea outline="0" collapsedLevelsAreSubtotals="1" fieldPosition="0">
        <references count="1">
          <reference field="4" count="1" selected="0" defaultSubtotal="1">
            <x v="0"/>
          </reference>
        </references>
      </pivotArea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4" count="1" defaultSubtotal="1">
            <x v="0"/>
          </reference>
        </references>
      </pivotArea>
    </format>
    <format dxfId="1">
      <pivotArea collapsedLevelsAreSubtotals="1" fieldPosition="0">
        <references count="2">
          <reference field="2" count="1">
            <x v="43"/>
          </reference>
          <reference field="4" count="1" selected="0" defaultSubtotal="1">
            <x v="0"/>
          </reference>
        </references>
      </pivotArea>
    </format>
    <format dxfId="0">
      <pivotArea dataOnly="0" labelOnly="1" fieldPosition="0">
        <references count="1">
          <reference field="2" count="1">
            <x v="4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>
      <selection activeCell="B3" sqref="B3"/>
    </sheetView>
  </sheetViews>
  <sheetFormatPr defaultRowHeight="15" x14ac:dyDescent="0.25"/>
  <cols>
    <col min="1" max="1" width="9.7109375" bestFit="1" customWidth="1"/>
    <col min="2" max="2" width="32.140625" bestFit="1" customWidth="1"/>
    <col min="3" max="3" width="14.28515625" bestFit="1" customWidth="1"/>
  </cols>
  <sheetData>
    <row r="1" spans="1:23" ht="16.5" thickBo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</row>
    <row r="2" spans="1:23" x14ac:dyDescent="0.25">
      <c r="A2" s="3">
        <v>43360</v>
      </c>
      <c r="B2" t="s">
        <v>259</v>
      </c>
      <c r="C2" t="s">
        <v>142</v>
      </c>
      <c r="E2">
        <v>63</v>
      </c>
      <c r="F2">
        <v>0</v>
      </c>
      <c r="H2" t="s">
        <v>143</v>
      </c>
      <c r="S2" t="s">
        <v>144</v>
      </c>
      <c r="T2" s="2">
        <v>43360.604722222219</v>
      </c>
      <c r="U2" t="s">
        <v>145</v>
      </c>
      <c r="V2" s="2">
        <v>43360.604722222219</v>
      </c>
      <c r="W2" t="s">
        <v>145</v>
      </c>
    </row>
    <row r="3" spans="1:23" x14ac:dyDescent="0.25">
      <c r="A3" s="3">
        <v>43361</v>
      </c>
      <c r="B3" t="s">
        <v>260</v>
      </c>
      <c r="D3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2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46" sqref="E46"/>
    </sheetView>
  </sheetViews>
  <sheetFormatPr defaultRowHeight="15" x14ac:dyDescent="0.25"/>
  <cols>
    <col min="1" max="1" width="9.140625" style="4"/>
    <col min="2" max="2" width="9.7109375" bestFit="1" customWidth="1"/>
    <col min="3" max="3" width="9.7109375" style="6" customWidth="1"/>
    <col min="4" max="4" width="26.28515625" bestFit="1" customWidth="1"/>
    <col min="5" max="5" width="9.140625" style="6"/>
    <col min="6" max="6" width="23" bestFit="1" customWidth="1"/>
    <col min="7" max="7" width="31.7109375" bestFit="1" customWidth="1"/>
    <col min="9" max="9" width="23.28515625" bestFit="1" customWidth="1"/>
    <col min="29" max="30" width="20" customWidth="1"/>
  </cols>
  <sheetData>
    <row r="1" spans="1:33" ht="16.5" thickBot="1" x14ac:dyDescent="0.3">
      <c r="A1" s="1" t="s">
        <v>0</v>
      </c>
      <c r="B1" s="1" t="s">
        <v>8</v>
      </c>
      <c r="C1" s="5" t="s">
        <v>269</v>
      </c>
      <c r="D1" s="1" t="s">
        <v>1</v>
      </c>
      <c r="E1" s="5" t="s">
        <v>2</v>
      </c>
      <c r="F1" s="1" t="s">
        <v>3</v>
      </c>
      <c r="G1" s="1" t="s">
        <v>9</v>
      </c>
      <c r="H1" s="1" t="s">
        <v>7</v>
      </c>
      <c r="I1" s="1" t="s">
        <v>4</v>
      </c>
      <c r="J1" s="1" t="s">
        <v>5</v>
      </c>
      <c r="K1" s="1" t="s">
        <v>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/>
      <c r="AE1" s="1" t="s">
        <v>28</v>
      </c>
      <c r="AF1" s="1" t="s">
        <v>29</v>
      </c>
      <c r="AG1" s="1" t="s">
        <v>30</v>
      </c>
    </row>
    <row r="2" spans="1:33" x14ac:dyDescent="0.25">
      <c r="A2" s="4">
        <v>82</v>
      </c>
      <c r="B2" s="3">
        <v>43360</v>
      </c>
      <c r="C2" s="20">
        <v>43360.327326388899</v>
      </c>
      <c r="D2" t="s">
        <v>161</v>
      </c>
      <c r="E2" s="6">
        <v>2</v>
      </c>
      <c r="F2" t="s">
        <v>32</v>
      </c>
      <c r="G2" t="s">
        <v>259</v>
      </c>
      <c r="I2" t="s">
        <v>42</v>
      </c>
      <c r="AB2" t="s">
        <v>162</v>
      </c>
      <c r="AC2" s="2">
        <v>43360.618993055563</v>
      </c>
      <c r="AD2" s="2">
        <f>AC2-(7/24)</f>
        <v>43360.327326388899</v>
      </c>
      <c r="AE2" t="s">
        <v>145</v>
      </c>
      <c r="AF2" s="2">
        <v>43360.618993055563</v>
      </c>
      <c r="AG2" t="s">
        <v>145</v>
      </c>
    </row>
    <row r="3" spans="1:33" x14ac:dyDescent="0.25">
      <c r="A3" s="4">
        <v>44</v>
      </c>
      <c r="B3" s="3">
        <v>43360</v>
      </c>
      <c r="C3" s="20">
        <v>43360.376261574078</v>
      </c>
      <c r="D3" t="s">
        <v>111</v>
      </c>
      <c r="E3" s="6">
        <v>1</v>
      </c>
      <c r="F3" t="s">
        <v>32</v>
      </c>
      <c r="G3" t="s">
        <v>260</v>
      </c>
      <c r="AB3" t="s">
        <v>112</v>
      </c>
      <c r="AC3" s="2">
        <v>43360.667928240742</v>
      </c>
      <c r="AD3" s="2">
        <f t="shared" ref="AD3:AD66" si="0">AC3-(7/24)</f>
        <v>43360.376261574078</v>
      </c>
      <c r="AE3" t="s">
        <v>35</v>
      </c>
      <c r="AF3" s="2">
        <v>43360.667928240742</v>
      </c>
      <c r="AG3" t="s">
        <v>35</v>
      </c>
    </row>
    <row r="4" spans="1:33" x14ac:dyDescent="0.25">
      <c r="A4" s="4">
        <v>45</v>
      </c>
      <c r="B4" s="3">
        <v>43360</v>
      </c>
      <c r="C4" s="20">
        <v>43360.377650462964</v>
      </c>
      <c r="D4" t="s">
        <v>111</v>
      </c>
      <c r="E4" s="6">
        <v>10</v>
      </c>
      <c r="F4" t="s">
        <v>32</v>
      </c>
      <c r="G4" t="s">
        <v>260</v>
      </c>
      <c r="AB4" t="s">
        <v>113</v>
      </c>
      <c r="AC4" s="2">
        <v>43360.669317129628</v>
      </c>
      <c r="AD4" s="2">
        <f t="shared" si="0"/>
        <v>43360.377650462964</v>
      </c>
      <c r="AE4" t="s">
        <v>35</v>
      </c>
      <c r="AF4" s="2">
        <v>43360.669317129628</v>
      </c>
      <c r="AG4" t="s">
        <v>35</v>
      </c>
    </row>
    <row r="5" spans="1:33" x14ac:dyDescent="0.25">
      <c r="A5" s="4">
        <v>83</v>
      </c>
      <c r="B5" s="3">
        <v>43360</v>
      </c>
      <c r="C5" s="20">
        <v>43360.328483796293</v>
      </c>
      <c r="D5" t="s">
        <v>111</v>
      </c>
      <c r="E5" s="6">
        <v>2</v>
      </c>
      <c r="F5" t="s">
        <v>32</v>
      </c>
      <c r="G5" t="s">
        <v>259</v>
      </c>
      <c r="I5" t="s">
        <v>51</v>
      </c>
      <c r="AB5" t="s">
        <v>163</v>
      </c>
      <c r="AC5" s="2">
        <v>43360.620150462957</v>
      </c>
      <c r="AD5" s="2">
        <f t="shared" si="0"/>
        <v>43360.328483796293</v>
      </c>
      <c r="AE5" t="s">
        <v>145</v>
      </c>
      <c r="AF5" s="2">
        <v>43360.620150462957</v>
      </c>
      <c r="AG5" t="s">
        <v>145</v>
      </c>
    </row>
    <row r="6" spans="1:33" x14ac:dyDescent="0.25">
      <c r="A6" s="4">
        <v>142</v>
      </c>
      <c r="B6" s="3">
        <v>43360</v>
      </c>
      <c r="C6" s="20">
        <v>43360.374328703707</v>
      </c>
      <c r="D6" t="s">
        <v>111</v>
      </c>
      <c r="E6" s="6">
        <v>1</v>
      </c>
      <c r="F6" t="s">
        <v>32</v>
      </c>
      <c r="G6" t="s">
        <v>259</v>
      </c>
      <c r="AB6" t="s">
        <v>236</v>
      </c>
      <c r="AC6" s="2">
        <v>43360.665995370371</v>
      </c>
      <c r="AD6" s="2">
        <f t="shared" si="0"/>
        <v>43360.374328703707</v>
      </c>
      <c r="AE6" t="s">
        <v>145</v>
      </c>
      <c r="AF6" s="2">
        <v>43360.665995370371</v>
      </c>
      <c r="AG6" t="s">
        <v>145</v>
      </c>
    </row>
    <row r="7" spans="1:33" x14ac:dyDescent="0.25">
      <c r="A7" s="4">
        <v>9</v>
      </c>
      <c r="B7" s="3">
        <v>43360</v>
      </c>
      <c r="C7" s="20">
        <v>43360.328009259269</v>
      </c>
      <c r="D7" t="s">
        <v>50</v>
      </c>
      <c r="E7" s="6">
        <v>1</v>
      </c>
      <c r="F7" t="s">
        <v>32</v>
      </c>
      <c r="G7" t="s">
        <v>260</v>
      </c>
      <c r="I7" t="s">
        <v>51</v>
      </c>
      <c r="AB7" t="s">
        <v>52</v>
      </c>
      <c r="AC7" s="2">
        <v>43360.619675925933</v>
      </c>
      <c r="AD7" s="2">
        <f t="shared" si="0"/>
        <v>43360.328009259269</v>
      </c>
      <c r="AE7" t="s">
        <v>35</v>
      </c>
      <c r="AF7" s="2">
        <v>43360.619675925933</v>
      </c>
      <c r="AG7" t="s">
        <v>35</v>
      </c>
    </row>
    <row r="8" spans="1:33" x14ac:dyDescent="0.25">
      <c r="A8" s="4">
        <v>12</v>
      </c>
      <c r="B8" s="3">
        <v>43360</v>
      </c>
      <c r="C8" s="20">
        <v>43360.330393518518</v>
      </c>
      <c r="D8" t="s">
        <v>50</v>
      </c>
      <c r="E8" s="6">
        <v>1</v>
      </c>
      <c r="F8" t="s">
        <v>32</v>
      </c>
      <c r="G8" t="s">
        <v>260</v>
      </c>
      <c r="I8" t="s">
        <v>33</v>
      </c>
      <c r="AB8" t="s">
        <v>57</v>
      </c>
      <c r="AC8" s="2">
        <v>43360.622060185182</v>
      </c>
      <c r="AD8" s="2">
        <f t="shared" si="0"/>
        <v>43360.330393518518</v>
      </c>
      <c r="AE8" t="s">
        <v>35</v>
      </c>
      <c r="AF8" s="2">
        <v>43360.622060185182</v>
      </c>
      <c r="AG8" t="s">
        <v>35</v>
      </c>
    </row>
    <row r="9" spans="1:33" x14ac:dyDescent="0.25">
      <c r="A9" s="4">
        <v>17</v>
      </c>
      <c r="B9" s="3">
        <v>43360</v>
      </c>
      <c r="C9" s="20">
        <v>43360.334525462968</v>
      </c>
      <c r="D9" t="s">
        <v>50</v>
      </c>
      <c r="E9" s="6">
        <v>2</v>
      </c>
      <c r="F9" t="s">
        <v>32</v>
      </c>
      <c r="G9" t="s">
        <v>260</v>
      </c>
      <c r="I9" t="s">
        <v>51</v>
      </c>
      <c r="AB9" t="s">
        <v>65</v>
      </c>
      <c r="AC9" s="2">
        <v>43360.626192129632</v>
      </c>
      <c r="AD9" s="2">
        <f t="shared" si="0"/>
        <v>43360.334525462968</v>
      </c>
      <c r="AE9" t="s">
        <v>35</v>
      </c>
      <c r="AF9" s="2">
        <v>43360.626192129632</v>
      </c>
      <c r="AG9" t="s">
        <v>35</v>
      </c>
    </row>
    <row r="10" spans="1:33" x14ac:dyDescent="0.25">
      <c r="A10" s="4">
        <v>42</v>
      </c>
      <c r="B10" s="3">
        <v>43360</v>
      </c>
      <c r="C10" s="20">
        <v>43360.369942129633</v>
      </c>
      <c r="D10" t="s">
        <v>50</v>
      </c>
      <c r="E10" s="6">
        <v>1</v>
      </c>
      <c r="F10" t="s">
        <v>32</v>
      </c>
      <c r="G10" t="s">
        <v>260</v>
      </c>
      <c r="AB10" t="s">
        <v>109</v>
      </c>
      <c r="AC10" s="2">
        <v>43360.661608796298</v>
      </c>
      <c r="AD10" s="2">
        <f t="shared" si="0"/>
        <v>43360.369942129633</v>
      </c>
      <c r="AE10" t="s">
        <v>35</v>
      </c>
      <c r="AF10" s="2">
        <v>43360.661608796298</v>
      </c>
      <c r="AG10" t="s">
        <v>35</v>
      </c>
    </row>
    <row r="11" spans="1:33" x14ac:dyDescent="0.25">
      <c r="A11" s="4">
        <v>54</v>
      </c>
      <c r="B11" s="3">
        <v>43360</v>
      </c>
      <c r="C11" s="20">
        <v>43360.385555555556</v>
      </c>
      <c r="D11" t="s">
        <v>50</v>
      </c>
      <c r="E11" s="6">
        <v>1</v>
      </c>
      <c r="F11" t="s">
        <v>32</v>
      </c>
      <c r="G11" t="s">
        <v>260</v>
      </c>
      <c r="AB11" t="s">
        <v>125</v>
      </c>
      <c r="AC11" s="2">
        <v>43360.677222222221</v>
      </c>
      <c r="AD11" s="2">
        <f t="shared" si="0"/>
        <v>43360.385555555556</v>
      </c>
      <c r="AE11" t="s">
        <v>35</v>
      </c>
      <c r="AF11" s="2">
        <v>43360.677222222221</v>
      </c>
      <c r="AG11" t="s">
        <v>35</v>
      </c>
    </row>
    <row r="12" spans="1:33" x14ac:dyDescent="0.25">
      <c r="A12" s="4">
        <v>123</v>
      </c>
      <c r="B12" s="3">
        <v>43360</v>
      </c>
      <c r="C12" s="20">
        <v>43360.357465277782</v>
      </c>
      <c r="D12" t="s">
        <v>50</v>
      </c>
      <c r="E12" s="6">
        <v>1</v>
      </c>
      <c r="F12" t="s">
        <v>32</v>
      </c>
      <c r="G12" t="s">
        <v>259</v>
      </c>
      <c r="AB12" t="s">
        <v>215</v>
      </c>
      <c r="AC12" s="2">
        <v>43360.649131944447</v>
      </c>
      <c r="AD12" s="2">
        <f t="shared" si="0"/>
        <v>43360.357465277782</v>
      </c>
      <c r="AE12" t="s">
        <v>145</v>
      </c>
      <c r="AF12" s="2">
        <v>43360.649131944447</v>
      </c>
      <c r="AG12" t="s">
        <v>145</v>
      </c>
    </row>
    <row r="13" spans="1:33" x14ac:dyDescent="0.25">
      <c r="A13" s="4">
        <v>139</v>
      </c>
      <c r="B13" s="3">
        <v>43360</v>
      </c>
      <c r="C13" s="20">
        <v>43360.372407407413</v>
      </c>
      <c r="D13" t="s">
        <v>50</v>
      </c>
      <c r="E13" s="6">
        <v>1</v>
      </c>
      <c r="F13" t="s">
        <v>32</v>
      </c>
      <c r="G13" t="s">
        <v>259</v>
      </c>
      <c r="AB13" t="s">
        <v>233</v>
      </c>
      <c r="AC13" s="2">
        <v>43360.664074074077</v>
      </c>
      <c r="AD13" s="2">
        <f t="shared" si="0"/>
        <v>43360.372407407413</v>
      </c>
      <c r="AE13" t="s">
        <v>145</v>
      </c>
      <c r="AF13" s="2">
        <v>43360.664074074077</v>
      </c>
      <c r="AG13" t="s">
        <v>145</v>
      </c>
    </row>
    <row r="14" spans="1:33" x14ac:dyDescent="0.25">
      <c r="A14" s="4">
        <v>122</v>
      </c>
      <c r="B14" s="3">
        <v>43360</v>
      </c>
      <c r="C14" s="20">
        <v>43360.357245370375</v>
      </c>
      <c r="D14" t="s">
        <v>213</v>
      </c>
      <c r="E14" s="6">
        <v>1</v>
      </c>
      <c r="F14" t="s">
        <v>32</v>
      </c>
      <c r="G14" t="s">
        <v>259</v>
      </c>
      <c r="AB14" t="s">
        <v>214</v>
      </c>
      <c r="AC14" s="2">
        <v>43360.648912037039</v>
      </c>
      <c r="AD14" s="2">
        <f t="shared" si="0"/>
        <v>43360.357245370375</v>
      </c>
      <c r="AE14" t="s">
        <v>145</v>
      </c>
      <c r="AF14" s="2">
        <v>43360.648912037039</v>
      </c>
      <c r="AG14" t="s">
        <v>145</v>
      </c>
    </row>
    <row r="15" spans="1:33" x14ac:dyDescent="0.25">
      <c r="A15" s="4">
        <v>124</v>
      </c>
      <c r="B15" s="3">
        <v>43360</v>
      </c>
      <c r="C15" s="20">
        <v>43360.359074074076</v>
      </c>
      <c r="D15" t="s">
        <v>213</v>
      </c>
      <c r="E15" s="6">
        <v>1</v>
      </c>
      <c r="F15" t="s">
        <v>32</v>
      </c>
      <c r="G15" t="s">
        <v>259</v>
      </c>
      <c r="AB15" t="s">
        <v>216</v>
      </c>
      <c r="AC15" s="2">
        <v>43360.650740740741</v>
      </c>
      <c r="AD15" s="2">
        <f t="shared" si="0"/>
        <v>43360.359074074076</v>
      </c>
      <c r="AE15" t="s">
        <v>145</v>
      </c>
      <c r="AF15" s="2">
        <v>43360.650740740741</v>
      </c>
      <c r="AG15" t="s">
        <v>145</v>
      </c>
    </row>
    <row r="16" spans="1:33" x14ac:dyDescent="0.25">
      <c r="A16" s="4">
        <v>37</v>
      </c>
      <c r="B16" s="3">
        <v>43360</v>
      </c>
      <c r="C16" s="20">
        <v>43360.367627314816</v>
      </c>
      <c r="D16" t="s">
        <v>99</v>
      </c>
      <c r="E16" s="6">
        <v>1</v>
      </c>
      <c r="F16" t="s">
        <v>32</v>
      </c>
      <c r="G16" t="s">
        <v>260</v>
      </c>
      <c r="J16" t="s">
        <v>100</v>
      </c>
      <c r="AB16" t="s">
        <v>101</v>
      </c>
      <c r="AC16" s="2">
        <v>43360.65929398148</v>
      </c>
      <c r="AD16" s="2">
        <f t="shared" si="0"/>
        <v>43360.367627314816</v>
      </c>
      <c r="AE16" t="s">
        <v>35</v>
      </c>
      <c r="AF16" s="2">
        <v>43360.660381944443</v>
      </c>
      <c r="AG16" t="s">
        <v>35</v>
      </c>
    </row>
    <row r="17" spans="1:33" x14ac:dyDescent="0.25">
      <c r="A17" s="4">
        <v>58</v>
      </c>
      <c r="B17" s="3">
        <v>43360</v>
      </c>
      <c r="C17" s="20">
        <v>43360.389386574076</v>
      </c>
      <c r="D17" t="s">
        <v>99</v>
      </c>
      <c r="E17" s="6">
        <v>1</v>
      </c>
      <c r="F17" t="s">
        <v>127</v>
      </c>
      <c r="G17" t="s">
        <v>260</v>
      </c>
      <c r="AB17" t="s">
        <v>131</v>
      </c>
      <c r="AC17" s="2">
        <v>43360.68105324074</v>
      </c>
      <c r="AD17" s="2">
        <f t="shared" si="0"/>
        <v>43360.389386574076</v>
      </c>
      <c r="AE17" t="s">
        <v>35</v>
      </c>
      <c r="AF17" s="2">
        <v>43360.68105324074</v>
      </c>
      <c r="AG17" t="s">
        <v>35</v>
      </c>
    </row>
    <row r="18" spans="1:33" x14ac:dyDescent="0.25">
      <c r="A18" s="4">
        <v>59</v>
      </c>
      <c r="B18" s="3">
        <v>43360</v>
      </c>
      <c r="C18" s="20">
        <v>43360.389618055553</v>
      </c>
      <c r="D18" t="s">
        <v>99</v>
      </c>
      <c r="E18" s="6">
        <v>1</v>
      </c>
      <c r="F18" t="s">
        <v>127</v>
      </c>
      <c r="G18" t="s">
        <v>260</v>
      </c>
      <c r="AB18" t="s">
        <v>132</v>
      </c>
      <c r="AC18" s="2">
        <v>43360.681284722217</v>
      </c>
      <c r="AD18" s="2">
        <f t="shared" si="0"/>
        <v>43360.389618055553</v>
      </c>
      <c r="AE18" t="s">
        <v>35</v>
      </c>
      <c r="AF18" s="2">
        <v>43360.681284722217</v>
      </c>
      <c r="AG18" t="s">
        <v>35</v>
      </c>
    </row>
    <row r="19" spans="1:33" x14ac:dyDescent="0.25">
      <c r="A19" s="4">
        <v>73</v>
      </c>
      <c r="B19" s="3">
        <v>43360</v>
      </c>
      <c r="C19" s="20">
        <v>43360.318599537037</v>
      </c>
      <c r="D19" t="s">
        <v>99</v>
      </c>
      <c r="E19" s="6">
        <v>1</v>
      </c>
      <c r="F19" t="s">
        <v>32</v>
      </c>
      <c r="G19" t="s">
        <v>259</v>
      </c>
      <c r="I19" t="s">
        <v>51</v>
      </c>
      <c r="AB19" t="s">
        <v>150</v>
      </c>
      <c r="AC19" s="2">
        <v>43360.610266203701</v>
      </c>
      <c r="AD19" s="2">
        <f t="shared" si="0"/>
        <v>43360.318599537037</v>
      </c>
      <c r="AE19" t="s">
        <v>145</v>
      </c>
      <c r="AF19" s="2">
        <v>43360.610266203701</v>
      </c>
      <c r="AG19" t="s">
        <v>145</v>
      </c>
    </row>
    <row r="20" spans="1:33" x14ac:dyDescent="0.25">
      <c r="A20" s="4">
        <v>76</v>
      </c>
      <c r="B20" s="3">
        <v>43360</v>
      </c>
      <c r="C20" s="20">
        <v>43360.320057870384</v>
      </c>
      <c r="D20" t="s">
        <v>99</v>
      </c>
      <c r="E20" s="6">
        <v>1</v>
      </c>
      <c r="F20" t="s">
        <v>32</v>
      </c>
      <c r="G20" t="s">
        <v>259</v>
      </c>
      <c r="I20" t="s">
        <v>51</v>
      </c>
      <c r="AB20" t="s">
        <v>155</v>
      </c>
      <c r="AC20" s="2">
        <v>43360.611724537048</v>
      </c>
      <c r="AD20" s="2">
        <f t="shared" si="0"/>
        <v>43360.320057870384</v>
      </c>
      <c r="AE20" t="s">
        <v>145</v>
      </c>
      <c r="AF20" s="2">
        <v>43360.611724537048</v>
      </c>
      <c r="AG20" t="s">
        <v>145</v>
      </c>
    </row>
    <row r="21" spans="1:33" x14ac:dyDescent="0.25">
      <c r="A21" s="4">
        <v>38</v>
      </c>
      <c r="B21" s="3">
        <v>43360</v>
      </c>
      <c r="C21" s="20">
        <v>43360.367754629639</v>
      </c>
      <c r="D21" t="s">
        <v>102</v>
      </c>
      <c r="E21" s="6">
        <v>1</v>
      </c>
      <c r="F21" t="s">
        <v>32</v>
      </c>
      <c r="G21" t="s">
        <v>260</v>
      </c>
      <c r="AB21" t="s">
        <v>103</v>
      </c>
      <c r="AC21" s="2">
        <v>43360.659421296303</v>
      </c>
      <c r="AD21" s="2">
        <f t="shared" si="0"/>
        <v>43360.367754629639</v>
      </c>
      <c r="AE21" t="s">
        <v>35</v>
      </c>
      <c r="AF21" s="2">
        <v>43360.659421296303</v>
      </c>
      <c r="AG21" t="s">
        <v>35</v>
      </c>
    </row>
    <row r="22" spans="1:33" x14ac:dyDescent="0.25">
      <c r="A22" s="4">
        <v>99</v>
      </c>
      <c r="B22" s="3">
        <v>43360</v>
      </c>
      <c r="C22" s="20">
        <v>43360.338217592594</v>
      </c>
      <c r="D22" t="s">
        <v>102</v>
      </c>
      <c r="E22" s="6">
        <v>1</v>
      </c>
      <c r="F22" t="s">
        <v>32</v>
      </c>
      <c r="G22" t="s">
        <v>259</v>
      </c>
      <c r="AB22" t="s">
        <v>182</v>
      </c>
      <c r="AC22" s="2">
        <v>43360.629884259259</v>
      </c>
      <c r="AD22" s="2">
        <f t="shared" si="0"/>
        <v>43360.338217592594</v>
      </c>
      <c r="AE22" t="s">
        <v>145</v>
      </c>
      <c r="AF22" s="2">
        <v>43360.629884259259</v>
      </c>
      <c r="AG22" t="s">
        <v>145</v>
      </c>
    </row>
    <row r="23" spans="1:33" x14ac:dyDescent="0.25">
      <c r="A23" s="4">
        <v>131</v>
      </c>
      <c r="B23" s="3">
        <v>43360</v>
      </c>
      <c r="C23" s="20">
        <v>43360.364050925928</v>
      </c>
      <c r="D23" t="s">
        <v>102</v>
      </c>
      <c r="E23" s="6">
        <v>1</v>
      </c>
      <c r="F23" t="s">
        <v>32</v>
      </c>
      <c r="G23" t="s">
        <v>259</v>
      </c>
      <c r="AB23" t="s">
        <v>225</v>
      </c>
      <c r="AC23" s="2">
        <v>43360.655717592592</v>
      </c>
      <c r="AD23" s="2">
        <f t="shared" si="0"/>
        <v>43360.364050925928</v>
      </c>
      <c r="AE23" t="s">
        <v>145</v>
      </c>
      <c r="AF23" s="2">
        <v>43360.655717592592</v>
      </c>
      <c r="AG23" t="s">
        <v>145</v>
      </c>
    </row>
    <row r="24" spans="1:33" x14ac:dyDescent="0.25">
      <c r="A24" s="4">
        <v>33</v>
      </c>
      <c r="B24" s="3">
        <v>43360</v>
      </c>
      <c r="C24" s="20">
        <v>43360.364861111113</v>
      </c>
      <c r="D24" t="s">
        <v>93</v>
      </c>
      <c r="E24" s="6">
        <v>1</v>
      </c>
      <c r="F24" t="s">
        <v>32</v>
      </c>
      <c r="G24" t="s">
        <v>260</v>
      </c>
      <c r="AB24" t="s">
        <v>94</v>
      </c>
      <c r="AC24" s="2">
        <v>43360.656527777777</v>
      </c>
      <c r="AD24" s="2">
        <f t="shared" si="0"/>
        <v>43360.364861111113</v>
      </c>
      <c r="AE24" t="s">
        <v>35</v>
      </c>
      <c r="AF24" s="2">
        <v>43360.656527777777</v>
      </c>
      <c r="AG24" t="s">
        <v>35</v>
      </c>
    </row>
    <row r="25" spans="1:33" s="24" customFormat="1" x14ac:dyDescent="0.25">
      <c r="A25" s="21">
        <v>34</v>
      </c>
      <c r="B25" s="22">
        <v>43360</v>
      </c>
      <c r="C25" s="23">
        <v>43360.365138888883</v>
      </c>
      <c r="D25" s="24" t="s">
        <v>93</v>
      </c>
      <c r="E25" s="11"/>
      <c r="F25" s="24" t="s">
        <v>32</v>
      </c>
      <c r="G25" s="24" t="s">
        <v>260</v>
      </c>
      <c r="AB25" s="24" t="s">
        <v>95</v>
      </c>
      <c r="AC25" s="25">
        <v>43360.656805555547</v>
      </c>
      <c r="AD25" s="25">
        <f t="shared" si="0"/>
        <v>43360.365138888883</v>
      </c>
      <c r="AE25" s="24" t="s">
        <v>35</v>
      </c>
      <c r="AF25" s="25">
        <v>43360.656805555547</v>
      </c>
      <c r="AG25" s="24" t="s">
        <v>35</v>
      </c>
    </row>
    <row r="26" spans="1:33" x14ac:dyDescent="0.25">
      <c r="A26" s="4">
        <v>39</v>
      </c>
      <c r="B26" s="3">
        <v>43360</v>
      </c>
      <c r="C26" s="20">
        <v>43360.367881944447</v>
      </c>
      <c r="D26" t="s">
        <v>93</v>
      </c>
      <c r="E26" s="6">
        <v>1</v>
      </c>
      <c r="F26" t="s">
        <v>32</v>
      </c>
      <c r="G26" t="s">
        <v>260</v>
      </c>
      <c r="AB26" t="s">
        <v>104</v>
      </c>
      <c r="AC26" s="2">
        <v>43360.659548611111</v>
      </c>
      <c r="AD26" s="2">
        <f t="shared" si="0"/>
        <v>43360.367881944447</v>
      </c>
      <c r="AE26" t="s">
        <v>35</v>
      </c>
      <c r="AF26" s="2">
        <v>43360.659548611111</v>
      </c>
      <c r="AG26" t="s">
        <v>35</v>
      </c>
    </row>
    <row r="27" spans="1:33" x14ac:dyDescent="0.25">
      <c r="A27" s="4">
        <v>43</v>
      </c>
      <c r="B27" s="3">
        <v>43360</v>
      </c>
      <c r="C27" s="20">
        <v>43360.371469907419</v>
      </c>
      <c r="D27" t="s">
        <v>93</v>
      </c>
      <c r="E27" s="6">
        <v>1</v>
      </c>
      <c r="F27" t="s">
        <v>32</v>
      </c>
      <c r="G27" t="s">
        <v>260</v>
      </c>
      <c r="AB27" t="s">
        <v>110</v>
      </c>
      <c r="AC27" s="2">
        <v>43360.663136574083</v>
      </c>
      <c r="AD27" s="2">
        <f t="shared" si="0"/>
        <v>43360.371469907419</v>
      </c>
      <c r="AE27" t="s">
        <v>35</v>
      </c>
      <c r="AF27" s="2">
        <v>43360.663136574083</v>
      </c>
      <c r="AG27" t="s">
        <v>35</v>
      </c>
    </row>
    <row r="28" spans="1:33" x14ac:dyDescent="0.25">
      <c r="A28" s="4">
        <v>51</v>
      </c>
      <c r="B28" s="3">
        <v>43360</v>
      </c>
      <c r="C28" s="20">
        <v>43360.380543981482</v>
      </c>
      <c r="D28" t="s">
        <v>93</v>
      </c>
      <c r="E28" s="6">
        <v>1</v>
      </c>
      <c r="F28" t="s">
        <v>32</v>
      </c>
      <c r="G28" t="s">
        <v>260</v>
      </c>
      <c r="AB28" t="s">
        <v>121</v>
      </c>
      <c r="AC28" s="2">
        <v>43360.672210648147</v>
      </c>
      <c r="AD28" s="2">
        <f t="shared" si="0"/>
        <v>43360.380543981482</v>
      </c>
      <c r="AE28" t="s">
        <v>35</v>
      </c>
      <c r="AF28" s="2">
        <v>43360.672210648147</v>
      </c>
      <c r="AG28" t="s">
        <v>35</v>
      </c>
    </row>
    <row r="29" spans="1:33" x14ac:dyDescent="0.25">
      <c r="A29" s="4">
        <v>63</v>
      </c>
      <c r="B29" s="3">
        <v>43360</v>
      </c>
      <c r="C29" s="20">
        <v>43360.391620370363</v>
      </c>
      <c r="D29" t="s">
        <v>93</v>
      </c>
      <c r="E29" s="6">
        <v>1</v>
      </c>
      <c r="F29" t="s">
        <v>32</v>
      </c>
      <c r="G29" t="s">
        <v>260</v>
      </c>
      <c r="AB29" t="s">
        <v>136</v>
      </c>
      <c r="AC29" s="2">
        <v>43360.683287037027</v>
      </c>
      <c r="AD29" s="2">
        <f t="shared" si="0"/>
        <v>43360.391620370363</v>
      </c>
      <c r="AE29" t="s">
        <v>35</v>
      </c>
      <c r="AF29" s="2">
        <v>43360.683287037027</v>
      </c>
      <c r="AG29" t="s">
        <v>35</v>
      </c>
    </row>
    <row r="30" spans="1:33" x14ac:dyDescent="0.25">
      <c r="A30" s="4">
        <v>66</v>
      </c>
      <c r="B30" s="3">
        <v>43360</v>
      </c>
      <c r="C30" s="20">
        <v>43360.396018518513</v>
      </c>
      <c r="D30" t="s">
        <v>93</v>
      </c>
      <c r="E30" s="6">
        <v>2</v>
      </c>
      <c r="F30" t="s">
        <v>32</v>
      </c>
      <c r="G30" t="s">
        <v>260</v>
      </c>
      <c r="AB30" t="s">
        <v>139</v>
      </c>
      <c r="AC30" s="2">
        <v>43360.687685185178</v>
      </c>
      <c r="AD30" s="2">
        <f t="shared" si="0"/>
        <v>43360.396018518513</v>
      </c>
      <c r="AE30" t="s">
        <v>35</v>
      </c>
      <c r="AF30" s="2">
        <v>43360.687685185178</v>
      </c>
      <c r="AG30" t="s">
        <v>35</v>
      </c>
    </row>
    <row r="31" spans="1:33" x14ac:dyDescent="0.25">
      <c r="A31" s="4">
        <v>69</v>
      </c>
      <c r="B31" s="3">
        <v>43360</v>
      </c>
      <c r="C31" s="20">
        <v>43360.313055555554</v>
      </c>
      <c r="D31" t="s">
        <v>93</v>
      </c>
      <c r="E31" s="6">
        <v>1</v>
      </c>
      <c r="F31" t="s">
        <v>32</v>
      </c>
      <c r="G31" t="s">
        <v>259</v>
      </c>
      <c r="I31" t="s">
        <v>33</v>
      </c>
      <c r="L31" t="s">
        <v>142</v>
      </c>
      <c r="N31">
        <v>63</v>
      </c>
      <c r="O31">
        <v>0</v>
      </c>
      <c r="Q31" t="s">
        <v>143</v>
      </c>
      <c r="AB31" t="s">
        <v>144</v>
      </c>
      <c r="AC31" s="2">
        <v>43360.604722222219</v>
      </c>
      <c r="AD31" s="2">
        <f t="shared" si="0"/>
        <v>43360.313055555554</v>
      </c>
      <c r="AE31" t="s">
        <v>145</v>
      </c>
      <c r="AF31" s="2">
        <v>43360.604722222219</v>
      </c>
      <c r="AG31" t="s">
        <v>145</v>
      </c>
    </row>
    <row r="32" spans="1:33" x14ac:dyDescent="0.25">
      <c r="A32" s="4">
        <v>78</v>
      </c>
      <c r="B32" s="3">
        <v>43360</v>
      </c>
      <c r="C32" s="20">
        <v>43360.321712962963</v>
      </c>
      <c r="D32" t="s">
        <v>93</v>
      </c>
      <c r="E32" s="6">
        <v>1</v>
      </c>
      <c r="F32" t="s">
        <v>32</v>
      </c>
      <c r="G32" t="s">
        <v>259</v>
      </c>
      <c r="I32" t="s">
        <v>51</v>
      </c>
      <c r="AB32" t="s">
        <v>157</v>
      </c>
      <c r="AC32" s="2">
        <v>43360.613379629627</v>
      </c>
      <c r="AD32" s="2">
        <f t="shared" si="0"/>
        <v>43360.321712962963</v>
      </c>
      <c r="AE32" t="s">
        <v>145</v>
      </c>
      <c r="AF32" s="2">
        <v>43360.613379629627</v>
      </c>
      <c r="AG32" t="s">
        <v>145</v>
      </c>
    </row>
    <row r="33" spans="1:33" x14ac:dyDescent="0.25">
      <c r="A33" s="4">
        <v>94</v>
      </c>
      <c r="B33" s="3">
        <v>43360</v>
      </c>
      <c r="C33" s="20">
        <v>43360.335567129623</v>
      </c>
      <c r="D33" t="s">
        <v>93</v>
      </c>
      <c r="E33" s="6">
        <v>1</v>
      </c>
      <c r="F33" t="s">
        <v>32</v>
      </c>
      <c r="G33" t="s">
        <v>259</v>
      </c>
      <c r="AB33" t="s">
        <v>177</v>
      </c>
      <c r="AC33" s="2">
        <v>43360.627233796287</v>
      </c>
      <c r="AD33" s="2">
        <f t="shared" si="0"/>
        <v>43360.335567129623</v>
      </c>
      <c r="AE33" t="s">
        <v>145</v>
      </c>
      <c r="AF33" s="2">
        <v>43360.627233796287</v>
      </c>
      <c r="AG33" t="s">
        <v>145</v>
      </c>
    </row>
    <row r="34" spans="1:33" x14ac:dyDescent="0.25">
      <c r="A34" s="4">
        <v>114</v>
      </c>
      <c r="B34" s="3">
        <v>43360</v>
      </c>
      <c r="C34" s="20">
        <v>43360.349247685182</v>
      </c>
      <c r="D34" t="s">
        <v>93</v>
      </c>
      <c r="E34" s="6">
        <v>1</v>
      </c>
      <c r="F34" t="s">
        <v>32</v>
      </c>
      <c r="G34" t="s">
        <v>259</v>
      </c>
      <c r="AB34" t="s">
        <v>202</v>
      </c>
      <c r="AC34" s="2">
        <v>43360.640914351847</v>
      </c>
      <c r="AD34" s="2">
        <f t="shared" si="0"/>
        <v>43360.349247685182</v>
      </c>
      <c r="AE34" t="s">
        <v>145</v>
      </c>
      <c r="AF34" s="2">
        <v>43360.640914351847</v>
      </c>
      <c r="AG34" t="s">
        <v>145</v>
      </c>
    </row>
    <row r="35" spans="1:33" x14ac:dyDescent="0.25">
      <c r="A35" s="4">
        <v>129</v>
      </c>
      <c r="B35" s="3">
        <v>43360</v>
      </c>
      <c r="C35" s="20">
        <v>43360.361157407409</v>
      </c>
      <c r="D35" t="s">
        <v>93</v>
      </c>
      <c r="E35" s="6">
        <v>1</v>
      </c>
      <c r="F35" t="s">
        <v>32</v>
      </c>
      <c r="G35" t="s">
        <v>259</v>
      </c>
      <c r="AB35" t="s">
        <v>223</v>
      </c>
      <c r="AC35" s="2">
        <v>43360.652824074074</v>
      </c>
      <c r="AD35" s="2">
        <f t="shared" si="0"/>
        <v>43360.361157407409</v>
      </c>
      <c r="AE35" t="s">
        <v>145</v>
      </c>
      <c r="AF35" s="2">
        <v>43360.652824074074</v>
      </c>
      <c r="AG35" t="s">
        <v>145</v>
      </c>
    </row>
    <row r="36" spans="1:33" x14ac:dyDescent="0.25">
      <c r="A36" s="4">
        <v>151</v>
      </c>
      <c r="B36" s="3">
        <v>43360</v>
      </c>
      <c r="C36" s="20">
        <v>43360.384722222225</v>
      </c>
      <c r="D36" t="s">
        <v>93</v>
      </c>
      <c r="E36" s="6">
        <v>1</v>
      </c>
      <c r="F36" t="s">
        <v>32</v>
      </c>
      <c r="G36" t="s">
        <v>259</v>
      </c>
      <c r="AB36" t="s">
        <v>246</v>
      </c>
      <c r="AC36" s="2">
        <v>43360.676388888889</v>
      </c>
      <c r="AD36" s="2">
        <f t="shared" si="0"/>
        <v>43360.384722222225</v>
      </c>
      <c r="AE36" t="s">
        <v>145</v>
      </c>
      <c r="AF36" s="2">
        <v>43360.676388888889</v>
      </c>
      <c r="AG36" t="s">
        <v>145</v>
      </c>
    </row>
    <row r="37" spans="1:33" s="24" customFormat="1" x14ac:dyDescent="0.25">
      <c r="A37" s="21">
        <v>31</v>
      </c>
      <c r="B37" s="22">
        <v>43360</v>
      </c>
      <c r="C37" s="23">
        <v>43360.362962962965</v>
      </c>
      <c r="D37" s="24" t="s">
        <v>89</v>
      </c>
      <c r="E37" s="11"/>
      <c r="F37" s="24" t="s">
        <v>32</v>
      </c>
      <c r="G37" s="24" t="s">
        <v>260</v>
      </c>
      <c r="AB37" s="24" t="s">
        <v>90</v>
      </c>
      <c r="AC37" s="25">
        <v>43360.654629629629</v>
      </c>
      <c r="AD37" s="25">
        <f t="shared" si="0"/>
        <v>43360.362962962965</v>
      </c>
      <c r="AE37" s="24" t="s">
        <v>35</v>
      </c>
      <c r="AF37" s="25">
        <v>43360.654629629629</v>
      </c>
      <c r="AG37" s="24" t="s">
        <v>35</v>
      </c>
    </row>
    <row r="38" spans="1:33" x14ac:dyDescent="0.25">
      <c r="A38" s="4">
        <v>133</v>
      </c>
      <c r="B38" s="3">
        <v>43360</v>
      </c>
      <c r="C38" s="20">
        <v>43360.368668981486</v>
      </c>
      <c r="D38" t="s">
        <v>89</v>
      </c>
      <c r="E38" s="6">
        <v>7</v>
      </c>
      <c r="F38" t="s">
        <v>32</v>
      </c>
      <c r="G38" t="s">
        <v>259</v>
      </c>
      <c r="AB38" t="s">
        <v>227</v>
      </c>
      <c r="AC38" s="2">
        <v>43360.66033564815</v>
      </c>
      <c r="AD38" s="2">
        <f t="shared" si="0"/>
        <v>43360.368668981486</v>
      </c>
      <c r="AE38" t="s">
        <v>145</v>
      </c>
      <c r="AF38" s="2">
        <v>43360.66033564815</v>
      </c>
      <c r="AG38" t="s">
        <v>145</v>
      </c>
    </row>
    <row r="39" spans="1:33" x14ac:dyDescent="0.25">
      <c r="A39" s="4">
        <v>32</v>
      </c>
      <c r="B39" s="3">
        <v>43360</v>
      </c>
      <c r="C39" s="20">
        <v>43360.363356481488</v>
      </c>
      <c r="D39" t="s">
        <v>91</v>
      </c>
      <c r="E39" s="6">
        <v>2</v>
      </c>
      <c r="F39" t="s">
        <v>32</v>
      </c>
      <c r="G39" t="s">
        <v>260</v>
      </c>
      <c r="AB39" t="s">
        <v>92</v>
      </c>
      <c r="AC39" s="2">
        <v>43360.655023148152</v>
      </c>
      <c r="AD39" s="2">
        <f t="shared" si="0"/>
        <v>43360.363356481488</v>
      </c>
      <c r="AE39" t="s">
        <v>35</v>
      </c>
      <c r="AF39" s="2">
        <v>43360.655023148152</v>
      </c>
      <c r="AG39" t="s">
        <v>35</v>
      </c>
    </row>
    <row r="40" spans="1:33" x14ac:dyDescent="0.25">
      <c r="A40" s="4">
        <v>125</v>
      </c>
      <c r="B40" s="3">
        <v>43360</v>
      </c>
      <c r="C40" s="20">
        <v>43360.359780092593</v>
      </c>
      <c r="D40" t="s">
        <v>91</v>
      </c>
      <c r="E40" s="6">
        <v>2</v>
      </c>
      <c r="F40" t="s">
        <v>32</v>
      </c>
      <c r="G40" t="s">
        <v>259</v>
      </c>
      <c r="AB40" t="s">
        <v>217</v>
      </c>
      <c r="AC40" s="2">
        <v>43360.651446759257</v>
      </c>
      <c r="AD40" s="2">
        <f t="shared" si="0"/>
        <v>43360.359780092593</v>
      </c>
      <c r="AE40" t="s">
        <v>145</v>
      </c>
      <c r="AF40" s="2">
        <v>43360.65247685185</v>
      </c>
      <c r="AG40" t="s">
        <v>145</v>
      </c>
    </row>
    <row r="41" spans="1:33" x14ac:dyDescent="0.25">
      <c r="A41" s="4">
        <v>147</v>
      </c>
      <c r="B41" s="3">
        <v>43360</v>
      </c>
      <c r="C41" s="20">
        <v>43360.381273148159</v>
      </c>
      <c r="D41" t="s">
        <v>91</v>
      </c>
      <c r="E41" s="6">
        <v>4</v>
      </c>
      <c r="F41" t="s">
        <v>32</v>
      </c>
      <c r="G41" t="s">
        <v>259</v>
      </c>
      <c r="AB41" t="s">
        <v>241</v>
      </c>
      <c r="AC41" s="2">
        <v>43360.672939814824</v>
      </c>
      <c r="AD41" s="2">
        <f t="shared" si="0"/>
        <v>43360.381273148159</v>
      </c>
      <c r="AE41" t="s">
        <v>145</v>
      </c>
      <c r="AF41" s="2">
        <v>43360.672939814824</v>
      </c>
      <c r="AG41" t="s">
        <v>145</v>
      </c>
    </row>
    <row r="42" spans="1:33" x14ac:dyDescent="0.25">
      <c r="A42" s="4">
        <v>55</v>
      </c>
      <c r="B42" s="3">
        <v>43360</v>
      </c>
      <c r="C42" s="20">
        <v>43360.386400462965</v>
      </c>
      <c r="D42" t="s">
        <v>126</v>
      </c>
      <c r="E42" s="6">
        <v>2</v>
      </c>
      <c r="F42" t="s">
        <v>127</v>
      </c>
      <c r="G42" t="s">
        <v>260</v>
      </c>
      <c r="AB42" t="s">
        <v>128</v>
      </c>
      <c r="AC42" s="2">
        <v>43360.678067129629</v>
      </c>
      <c r="AD42" s="2">
        <f t="shared" si="0"/>
        <v>43360.386400462965</v>
      </c>
      <c r="AE42" t="s">
        <v>35</v>
      </c>
      <c r="AF42" s="2">
        <v>43360.678067129629</v>
      </c>
      <c r="AG42" t="s">
        <v>35</v>
      </c>
    </row>
    <row r="43" spans="1:33" x14ac:dyDescent="0.25">
      <c r="A43" s="4">
        <v>6</v>
      </c>
      <c r="B43" s="3">
        <v>43360</v>
      </c>
      <c r="C43" s="20">
        <v>43360.324872685189</v>
      </c>
      <c r="D43" t="s">
        <v>44</v>
      </c>
      <c r="E43" s="6">
        <v>5</v>
      </c>
      <c r="F43" t="s">
        <v>32</v>
      </c>
      <c r="G43" t="s">
        <v>260</v>
      </c>
      <c r="I43" t="s">
        <v>45</v>
      </c>
      <c r="AB43" t="s">
        <v>46</v>
      </c>
      <c r="AC43" s="2">
        <v>43360.616539351853</v>
      </c>
      <c r="AD43" s="2">
        <f t="shared" si="0"/>
        <v>43360.324872685189</v>
      </c>
      <c r="AE43" t="s">
        <v>35</v>
      </c>
      <c r="AF43" s="2">
        <v>43360.617337962962</v>
      </c>
      <c r="AG43" t="s">
        <v>35</v>
      </c>
    </row>
    <row r="44" spans="1:33" x14ac:dyDescent="0.25">
      <c r="A44" s="4">
        <v>57</v>
      </c>
      <c r="B44" s="3">
        <v>43360</v>
      </c>
      <c r="C44" s="20">
        <v>43360.389155092606</v>
      </c>
      <c r="D44" t="s">
        <v>44</v>
      </c>
      <c r="E44" s="6">
        <v>2</v>
      </c>
      <c r="F44" t="s">
        <v>32</v>
      </c>
      <c r="G44" t="s">
        <v>260</v>
      </c>
      <c r="AB44" t="s">
        <v>130</v>
      </c>
      <c r="AC44" s="2">
        <v>43360.68082175927</v>
      </c>
      <c r="AD44" s="2">
        <f t="shared" si="0"/>
        <v>43360.389155092606</v>
      </c>
      <c r="AE44" t="s">
        <v>35</v>
      </c>
      <c r="AF44" s="2">
        <v>43360.68082175927</v>
      </c>
      <c r="AG44" t="s">
        <v>35</v>
      </c>
    </row>
    <row r="45" spans="1:33" x14ac:dyDescent="0.25">
      <c r="A45" s="4">
        <v>13</v>
      </c>
      <c r="B45" s="3">
        <v>43360</v>
      </c>
      <c r="C45" s="20">
        <v>43360.330671296302</v>
      </c>
      <c r="D45" t="s">
        <v>58</v>
      </c>
      <c r="E45" s="6">
        <v>1</v>
      </c>
      <c r="F45" t="s">
        <v>32</v>
      </c>
      <c r="G45" t="s">
        <v>260</v>
      </c>
      <c r="I45" t="s">
        <v>33</v>
      </c>
      <c r="AB45" t="s">
        <v>59</v>
      </c>
      <c r="AC45" s="2">
        <v>43360.622337962966</v>
      </c>
      <c r="AD45" s="2">
        <f t="shared" si="0"/>
        <v>43360.330671296302</v>
      </c>
      <c r="AE45" t="s">
        <v>35</v>
      </c>
      <c r="AF45" s="2">
        <v>43360.622337962966</v>
      </c>
      <c r="AG45" t="s">
        <v>35</v>
      </c>
    </row>
    <row r="46" spans="1:33" s="24" customFormat="1" x14ac:dyDescent="0.25">
      <c r="A46" s="21">
        <v>98</v>
      </c>
      <c r="B46" s="22">
        <v>43360</v>
      </c>
      <c r="C46" s="23">
        <v>43360.338067129633</v>
      </c>
      <c r="D46" s="24" t="s">
        <v>58</v>
      </c>
      <c r="E46" s="11"/>
      <c r="F46" s="24" t="s">
        <v>32</v>
      </c>
      <c r="G46" s="24" t="s">
        <v>259</v>
      </c>
      <c r="AB46" s="24" t="s">
        <v>181</v>
      </c>
      <c r="AC46" s="25">
        <v>43360.629733796297</v>
      </c>
      <c r="AD46" s="25">
        <f t="shared" si="0"/>
        <v>43360.338067129633</v>
      </c>
      <c r="AE46" s="24" t="s">
        <v>145</v>
      </c>
      <c r="AF46" s="25">
        <v>43360.629733796297</v>
      </c>
      <c r="AG46" s="24" t="s">
        <v>145</v>
      </c>
    </row>
    <row r="47" spans="1:33" x14ac:dyDescent="0.25">
      <c r="A47" s="4">
        <v>155</v>
      </c>
      <c r="B47" s="3">
        <v>43360</v>
      </c>
      <c r="C47" s="20">
        <v>43360.387673611112</v>
      </c>
      <c r="D47" t="s">
        <v>58</v>
      </c>
      <c r="E47" s="6">
        <v>1</v>
      </c>
      <c r="F47" t="s">
        <v>32</v>
      </c>
      <c r="G47" t="s">
        <v>259</v>
      </c>
      <c r="AB47" t="s">
        <v>250</v>
      </c>
      <c r="AC47" s="2">
        <v>43360.679340277777</v>
      </c>
      <c r="AD47" s="2">
        <f t="shared" si="0"/>
        <v>43360.387673611112</v>
      </c>
      <c r="AE47" t="s">
        <v>145</v>
      </c>
      <c r="AF47" s="2">
        <v>43360.679340277777</v>
      </c>
      <c r="AG47" t="s">
        <v>145</v>
      </c>
    </row>
    <row r="48" spans="1:33" x14ac:dyDescent="0.25">
      <c r="A48" s="4">
        <v>86</v>
      </c>
      <c r="B48" s="3">
        <v>43360</v>
      </c>
      <c r="C48" s="20">
        <v>43360.329884259263</v>
      </c>
      <c r="D48" t="s">
        <v>167</v>
      </c>
      <c r="E48" s="6">
        <v>4</v>
      </c>
      <c r="F48" t="s">
        <v>32</v>
      </c>
      <c r="G48" t="s">
        <v>259</v>
      </c>
      <c r="I48" t="s">
        <v>51</v>
      </c>
      <c r="AB48" t="s">
        <v>168</v>
      </c>
      <c r="AC48" s="2">
        <v>43360.621550925927</v>
      </c>
      <c r="AD48" s="2">
        <f t="shared" si="0"/>
        <v>43360.329884259263</v>
      </c>
      <c r="AE48" t="s">
        <v>145</v>
      </c>
      <c r="AF48" s="2">
        <v>43360.621990740743</v>
      </c>
      <c r="AG48" t="s">
        <v>145</v>
      </c>
    </row>
    <row r="49" spans="1:33" x14ac:dyDescent="0.25">
      <c r="A49" s="4">
        <v>10</v>
      </c>
      <c r="B49" s="3">
        <v>43360</v>
      </c>
      <c r="C49" s="20">
        <v>43360.328668981485</v>
      </c>
      <c r="D49" t="s">
        <v>53</v>
      </c>
      <c r="E49" s="6">
        <v>5</v>
      </c>
      <c r="F49" t="s">
        <v>32</v>
      </c>
      <c r="G49" t="s">
        <v>260</v>
      </c>
      <c r="I49" t="s">
        <v>51</v>
      </c>
      <c r="AB49" t="s">
        <v>54</v>
      </c>
      <c r="AC49" s="2">
        <v>43360.620335648149</v>
      </c>
      <c r="AD49" s="2">
        <f t="shared" si="0"/>
        <v>43360.328668981485</v>
      </c>
      <c r="AE49" t="s">
        <v>35</v>
      </c>
      <c r="AF49" s="2">
        <v>43360.620335648149</v>
      </c>
      <c r="AG49" t="s">
        <v>35</v>
      </c>
    </row>
    <row r="50" spans="1:33" x14ac:dyDescent="0.25">
      <c r="A50" s="4">
        <v>16</v>
      </c>
      <c r="B50" s="3">
        <v>43360</v>
      </c>
      <c r="C50" s="20">
        <v>43360.334328703706</v>
      </c>
      <c r="D50" t="s">
        <v>53</v>
      </c>
      <c r="E50" s="6">
        <v>5</v>
      </c>
      <c r="F50" t="s">
        <v>32</v>
      </c>
      <c r="G50" t="s">
        <v>260</v>
      </c>
      <c r="I50" t="s">
        <v>33</v>
      </c>
      <c r="AB50" t="s">
        <v>64</v>
      </c>
      <c r="AC50" s="2">
        <v>43360.62599537037</v>
      </c>
      <c r="AD50" s="2">
        <f t="shared" si="0"/>
        <v>43360.334328703706</v>
      </c>
      <c r="AE50" t="s">
        <v>35</v>
      </c>
      <c r="AF50" s="2">
        <v>43360.62599537037</v>
      </c>
      <c r="AG50" t="s">
        <v>35</v>
      </c>
    </row>
    <row r="51" spans="1:33" x14ac:dyDescent="0.25">
      <c r="A51" s="4">
        <v>61</v>
      </c>
      <c r="B51" s="3">
        <v>43360</v>
      </c>
      <c r="C51" s="20">
        <v>43360.390740740753</v>
      </c>
      <c r="D51" t="s">
        <v>53</v>
      </c>
      <c r="E51" s="6">
        <v>20</v>
      </c>
      <c r="F51" t="s">
        <v>32</v>
      </c>
      <c r="G51" t="s">
        <v>260</v>
      </c>
      <c r="AB51" t="s">
        <v>134</v>
      </c>
      <c r="AC51" s="2">
        <v>43360.682407407417</v>
      </c>
      <c r="AD51" s="2">
        <f t="shared" si="0"/>
        <v>43360.390740740753</v>
      </c>
      <c r="AE51" t="s">
        <v>35</v>
      </c>
      <c r="AF51" s="2">
        <v>43360.682407407417</v>
      </c>
      <c r="AG51" t="s">
        <v>35</v>
      </c>
    </row>
    <row r="52" spans="1:33" x14ac:dyDescent="0.25">
      <c r="A52" s="4">
        <v>80</v>
      </c>
      <c r="B52" s="3">
        <v>43360</v>
      </c>
      <c r="C52" s="20">
        <v>43360.324363425927</v>
      </c>
      <c r="D52" t="s">
        <v>53</v>
      </c>
      <c r="E52" s="6">
        <v>2</v>
      </c>
      <c r="F52" t="s">
        <v>32</v>
      </c>
      <c r="G52" t="s">
        <v>259</v>
      </c>
      <c r="AB52" t="s">
        <v>159</v>
      </c>
      <c r="AC52" s="2">
        <v>43360.616030092591</v>
      </c>
      <c r="AD52" s="2">
        <f t="shared" si="0"/>
        <v>43360.324363425927</v>
      </c>
      <c r="AE52" t="s">
        <v>145</v>
      </c>
      <c r="AF52" s="2">
        <v>43360.616030092591</v>
      </c>
      <c r="AG52" t="s">
        <v>145</v>
      </c>
    </row>
    <row r="53" spans="1:33" x14ac:dyDescent="0.25">
      <c r="A53" s="4">
        <v>88</v>
      </c>
      <c r="B53" s="3">
        <v>43360</v>
      </c>
      <c r="C53" s="20">
        <v>43360.331851851864</v>
      </c>
      <c r="D53" t="s">
        <v>53</v>
      </c>
      <c r="E53" s="6">
        <v>7</v>
      </c>
      <c r="F53" t="s">
        <v>32</v>
      </c>
      <c r="G53" t="s">
        <v>259</v>
      </c>
      <c r="I53" t="s">
        <v>33</v>
      </c>
      <c r="AB53" t="s">
        <v>170</v>
      </c>
      <c r="AC53" s="2">
        <v>43360.623518518529</v>
      </c>
      <c r="AD53" s="2">
        <f t="shared" si="0"/>
        <v>43360.331851851864</v>
      </c>
      <c r="AE53" t="s">
        <v>145</v>
      </c>
      <c r="AF53" s="2">
        <v>43360.623518518529</v>
      </c>
      <c r="AG53" t="s">
        <v>145</v>
      </c>
    </row>
    <row r="54" spans="1:33" x14ac:dyDescent="0.25">
      <c r="A54" s="4">
        <v>97</v>
      </c>
      <c r="B54" s="3">
        <v>43360</v>
      </c>
      <c r="C54" s="20">
        <v>43360.337881944448</v>
      </c>
      <c r="D54" t="s">
        <v>53</v>
      </c>
      <c r="E54" s="6">
        <v>8</v>
      </c>
      <c r="F54" t="s">
        <v>32</v>
      </c>
      <c r="G54" t="s">
        <v>259</v>
      </c>
      <c r="AB54" t="s">
        <v>180</v>
      </c>
      <c r="AC54" s="2">
        <v>43360.629548611112</v>
      </c>
      <c r="AD54" s="2">
        <f t="shared" si="0"/>
        <v>43360.337881944448</v>
      </c>
      <c r="AE54" t="s">
        <v>145</v>
      </c>
      <c r="AF54" s="2">
        <v>43360.629548611112</v>
      </c>
      <c r="AG54" t="s">
        <v>145</v>
      </c>
    </row>
    <row r="55" spans="1:33" x14ac:dyDescent="0.25">
      <c r="A55" s="4">
        <v>47</v>
      </c>
      <c r="B55" s="3">
        <v>43360</v>
      </c>
      <c r="C55" s="20">
        <v>43360.378240740749</v>
      </c>
      <c r="D55" t="s">
        <v>115</v>
      </c>
      <c r="E55" s="6">
        <v>1</v>
      </c>
      <c r="F55" t="s">
        <v>32</v>
      </c>
      <c r="G55" t="s">
        <v>260</v>
      </c>
      <c r="I55" t="s">
        <v>33</v>
      </c>
      <c r="AB55" t="s">
        <v>116</v>
      </c>
      <c r="AC55" s="2">
        <v>43360.669907407413</v>
      </c>
      <c r="AD55" s="2">
        <f t="shared" si="0"/>
        <v>43360.378240740749</v>
      </c>
      <c r="AE55" t="s">
        <v>35</v>
      </c>
      <c r="AF55" s="2">
        <v>43360.669907407413</v>
      </c>
      <c r="AG55" t="s">
        <v>35</v>
      </c>
    </row>
    <row r="56" spans="1:33" x14ac:dyDescent="0.25">
      <c r="A56" s="4">
        <v>146</v>
      </c>
      <c r="B56" s="3">
        <v>43360</v>
      </c>
      <c r="C56" s="20">
        <v>43360.378101851857</v>
      </c>
      <c r="D56" t="s">
        <v>115</v>
      </c>
      <c r="E56" s="6">
        <v>1</v>
      </c>
      <c r="F56" t="s">
        <v>32</v>
      </c>
      <c r="G56" t="s">
        <v>259</v>
      </c>
      <c r="AB56" t="s">
        <v>240</v>
      </c>
      <c r="AC56" s="2">
        <v>43360.669768518521</v>
      </c>
      <c r="AD56" s="2">
        <f t="shared" si="0"/>
        <v>43360.378101851857</v>
      </c>
      <c r="AE56" t="s">
        <v>145</v>
      </c>
      <c r="AF56" s="2">
        <v>43360.669768518521</v>
      </c>
      <c r="AG56" t="s">
        <v>145</v>
      </c>
    </row>
    <row r="57" spans="1:33" x14ac:dyDescent="0.25">
      <c r="A57" s="4">
        <v>40</v>
      </c>
      <c r="B57" s="3">
        <v>43360</v>
      </c>
      <c r="C57" s="20">
        <v>43360.368981481486</v>
      </c>
      <c r="D57" t="s">
        <v>105</v>
      </c>
      <c r="E57" s="6">
        <v>2</v>
      </c>
      <c r="F57" t="s">
        <v>32</v>
      </c>
      <c r="G57" t="s">
        <v>260</v>
      </c>
      <c r="AB57" t="s">
        <v>106</v>
      </c>
      <c r="AC57" s="2">
        <v>43360.66064814815</v>
      </c>
      <c r="AD57" s="2">
        <f t="shared" si="0"/>
        <v>43360.368981481486</v>
      </c>
      <c r="AE57" t="s">
        <v>35</v>
      </c>
      <c r="AF57" s="2">
        <v>43360.66064814815</v>
      </c>
      <c r="AG57" t="s">
        <v>35</v>
      </c>
    </row>
    <row r="58" spans="1:33" x14ac:dyDescent="0.25">
      <c r="A58" s="4">
        <v>46</v>
      </c>
      <c r="B58" s="3">
        <v>43360</v>
      </c>
      <c r="C58" s="20">
        <v>43360.378043981495</v>
      </c>
      <c r="D58" t="s">
        <v>105</v>
      </c>
      <c r="E58" s="6">
        <v>1</v>
      </c>
      <c r="F58" t="s">
        <v>32</v>
      </c>
      <c r="G58" t="s">
        <v>260</v>
      </c>
      <c r="AB58" t="s">
        <v>114</v>
      </c>
      <c r="AC58" s="2">
        <v>43360.669710648159</v>
      </c>
      <c r="AD58" s="2">
        <f t="shared" si="0"/>
        <v>43360.378043981495</v>
      </c>
      <c r="AE58" t="s">
        <v>35</v>
      </c>
      <c r="AF58" s="2">
        <v>43360.669710648159</v>
      </c>
      <c r="AG58" t="s">
        <v>35</v>
      </c>
    </row>
    <row r="59" spans="1:33" x14ac:dyDescent="0.25">
      <c r="A59" s="4">
        <v>121</v>
      </c>
      <c r="B59" s="3">
        <v>43360</v>
      </c>
      <c r="C59" s="20">
        <v>43360.356817129643</v>
      </c>
      <c r="D59" t="s">
        <v>105</v>
      </c>
      <c r="E59" s="6">
        <v>1</v>
      </c>
      <c r="F59" t="s">
        <v>32</v>
      </c>
      <c r="G59" t="s">
        <v>259</v>
      </c>
      <c r="AB59" t="s">
        <v>212</v>
      </c>
      <c r="AC59" s="2">
        <v>43360.648483796307</v>
      </c>
      <c r="AD59" s="2">
        <f t="shared" si="0"/>
        <v>43360.356817129643</v>
      </c>
      <c r="AE59" t="s">
        <v>145</v>
      </c>
      <c r="AF59" s="2">
        <v>43360.648483796307</v>
      </c>
      <c r="AG59" t="s">
        <v>145</v>
      </c>
    </row>
    <row r="60" spans="1:33" x14ac:dyDescent="0.25">
      <c r="A60" s="4">
        <v>154</v>
      </c>
      <c r="B60" s="3">
        <v>43360</v>
      </c>
      <c r="C60" s="20">
        <v>43360.386481481473</v>
      </c>
      <c r="D60" t="s">
        <v>105</v>
      </c>
      <c r="E60" s="6">
        <v>2</v>
      </c>
      <c r="F60" t="s">
        <v>32</v>
      </c>
      <c r="G60" t="s">
        <v>259</v>
      </c>
      <c r="AB60" t="s">
        <v>249</v>
      </c>
      <c r="AC60" s="2">
        <v>43360.678148148138</v>
      </c>
      <c r="AD60" s="2">
        <f t="shared" si="0"/>
        <v>43360.386481481473</v>
      </c>
      <c r="AE60" t="s">
        <v>145</v>
      </c>
      <c r="AF60" s="2">
        <v>43360.678148148138</v>
      </c>
      <c r="AG60" t="s">
        <v>145</v>
      </c>
    </row>
    <row r="61" spans="1:33" x14ac:dyDescent="0.25">
      <c r="A61" s="4">
        <v>2</v>
      </c>
      <c r="B61" s="3">
        <v>43360</v>
      </c>
      <c r="C61" s="20">
        <v>43360.322141203716</v>
      </c>
      <c r="D61" t="s">
        <v>36</v>
      </c>
      <c r="E61" s="6">
        <v>1</v>
      </c>
      <c r="F61" t="s">
        <v>32</v>
      </c>
      <c r="G61" t="s">
        <v>260</v>
      </c>
      <c r="I61" t="s">
        <v>33</v>
      </c>
      <c r="AB61" t="s">
        <v>37</v>
      </c>
      <c r="AC61" s="2">
        <v>43360.613807870381</v>
      </c>
      <c r="AD61" s="2">
        <f t="shared" si="0"/>
        <v>43360.322141203716</v>
      </c>
      <c r="AE61" t="s">
        <v>35</v>
      </c>
      <c r="AF61" s="2">
        <v>43360.613807870381</v>
      </c>
      <c r="AG61" t="s">
        <v>35</v>
      </c>
    </row>
    <row r="62" spans="1:33" x14ac:dyDescent="0.25">
      <c r="A62" s="4">
        <v>3</v>
      </c>
      <c r="B62" s="3">
        <v>43360</v>
      </c>
      <c r="C62" s="20">
        <v>43360.323935185188</v>
      </c>
      <c r="D62" t="s">
        <v>36</v>
      </c>
      <c r="E62" s="6">
        <v>1</v>
      </c>
      <c r="F62" t="s">
        <v>32</v>
      </c>
      <c r="G62" t="s">
        <v>260</v>
      </c>
      <c r="AB62" t="s">
        <v>38</v>
      </c>
      <c r="AC62" s="2">
        <v>43360.615601851852</v>
      </c>
      <c r="AD62" s="2">
        <f t="shared" si="0"/>
        <v>43360.323935185188</v>
      </c>
      <c r="AE62" t="s">
        <v>35</v>
      </c>
      <c r="AF62" s="2">
        <v>43360.615601851852</v>
      </c>
      <c r="AG62" t="s">
        <v>35</v>
      </c>
    </row>
    <row r="63" spans="1:33" x14ac:dyDescent="0.25">
      <c r="A63" s="4">
        <v>20</v>
      </c>
      <c r="B63" s="3">
        <v>43360</v>
      </c>
      <c r="C63" s="20">
        <v>43360.342800925922</v>
      </c>
      <c r="D63" t="s">
        <v>36</v>
      </c>
      <c r="E63" s="6">
        <v>1</v>
      </c>
      <c r="F63" t="s">
        <v>32</v>
      </c>
      <c r="G63" t="s">
        <v>260</v>
      </c>
      <c r="I63" t="s">
        <v>70</v>
      </c>
      <c r="AB63" t="s">
        <v>71</v>
      </c>
      <c r="AC63" s="2">
        <v>43360.634467592587</v>
      </c>
      <c r="AD63" s="2">
        <f t="shared" si="0"/>
        <v>43360.342800925922</v>
      </c>
      <c r="AE63" t="s">
        <v>35</v>
      </c>
      <c r="AF63" s="2">
        <v>43360.634467592587</v>
      </c>
      <c r="AG63" t="s">
        <v>35</v>
      </c>
    </row>
    <row r="64" spans="1:33" s="24" customFormat="1" x14ac:dyDescent="0.25">
      <c r="A64" s="21">
        <v>60</v>
      </c>
      <c r="B64" s="22">
        <v>43360</v>
      </c>
      <c r="C64" s="23">
        <v>43360.390069444446</v>
      </c>
      <c r="D64" s="24" t="s">
        <v>36</v>
      </c>
      <c r="E64" s="11"/>
      <c r="F64" s="24" t="s">
        <v>32</v>
      </c>
      <c r="G64" s="24" t="s">
        <v>260</v>
      </c>
      <c r="AB64" s="24" t="s">
        <v>133</v>
      </c>
      <c r="AC64" s="25">
        <v>43360.68173611111</v>
      </c>
      <c r="AD64" s="25">
        <f t="shared" si="0"/>
        <v>43360.390069444446</v>
      </c>
      <c r="AE64" s="24" t="s">
        <v>35</v>
      </c>
      <c r="AF64" s="25">
        <v>43360.68173611111</v>
      </c>
      <c r="AG64" s="24" t="s">
        <v>35</v>
      </c>
    </row>
    <row r="65" spans="1:33" x14ac:dyDescent="0.25">
      <c r="A65" s="4">
        <v>62</v>
      </c>
      <c r="B65" s="3">
        <v>43360</v>
      </c>
      <c r="C65" s="20">
        <v>43360.390925925938</v>
      </c>
      <c r="D65" t="s">
        <v>36</v>
      </c>
      <c r="E65" s="6">
        <v>2</v>
      </c>
      <c r="F65" t="s">
        <v>32</v>
      </c>
      <c r="G65" t="s">
        <v>260</v>
      </c>
      <c r="AB65" t="s">
        <v>135</v>
      </c>
      <c r="AC65" s="2">
        <v>43360.682592592602</v>
      </c>
      <c r="AD65" s="2">
        <f t="shared" si="0"/>
        <v>43360.390925925938</v>
      </c>
      <c r="AE65" t="s">
        <v>35</v>
      </c>
      <c r="AF65" s="2">
        <v>43360.682592592602</v>
      </c>
      <c r="AG65" t="s">
        <v>35</v>
      </c>
    </row>
    <row r="66" spans="1:33" x14ac:dyDescent="0.25">
      <c r="A66" s="4">
        <v>70</v>
      </c>
      <c r="B66" s="3">
        <v>43360</v>
      </c>
      <c r="C66" s="20">
        <v>43360.316250000003</v>
      </c>
      <c r="D66" t="s">
        <v>36</v>
      </c>
      <c r="E66" s="6">
        <v>1</v>
      </c>
      <c r="F66" t="s">
        <v>32</v>
      </c>
      <c r="G66" t="s">
        <v>259</v>
      </c>
      <c r="I66" t="s">
        <v>33</v>
      </c>
      <c r="AB66" t="s">
        <v>146</v>
      </c>
      <c r="AC66" s="2">
        <v>43360.607916666668</v>
      </c>
      <c r="AD66" s="2">
        <f t="shared" si="0"/>
        <v>43360.316250000003</v>
      </c>
      <c r="AE66" t="s">
        <v>145</v>
      </c>
      <c r="AF66" s="2">
        <v>43360.607916666668</v>
      </c>
      <c r="AG66" t="s">
        <v>145</v>
      </c>
    </row>
    <row r="67" spans="1:33" x14ac:dyDescent="0.25">
      <c r="A67" s="4">
        <v>79</v>
      </c>
      <c r="B67" s="3">
        <v>43360</v>
      </c>
      <c r="C67" s="20">
        <v>43360.322581018518</v>
      </c>
      <c r="D67" t="s">
        <v>36</v>
      </c>
      <c r="E67" s="6">
        <v>1</v>
      </c>
      <c r="F67" t="s">
        <v>32</v>
      </c>
      <c r="G67" t="s">
        <v>259</v>
      </c>
      <c r="AB67" t="s">
        <v>158</v>
      </c>
      <c r="AC67" s="2">
        <v>43360.614247685182</v>
      </c>
      <c r="AD67" s="2">
        <f t="shared" ref="AD67:AD130" si="1">AC67-(7/24)</f>
        <v>43360.322581018518</v>
      </c>
      <c r="AE67" t="s">
        <v>145</v>
      </c>
      <c r="AF67" s="2">
        <v>43360.614247685182</v>
      </c>
      <c r="AG67" t="s">
        <v>145</v>
      </c>
    </row>
    <row r="68" spans="1:33" x14ac:dyDescent="0.25">
      <c r="A68" s="4">
        <v>91</v>
      </c>
      <c r="B68" s="3">
        <v>43360</v>
      </c>
      <c r="C68" s="20">
        <v>43360.332962962966</v>
      </c>
      <c r="D68" t="s">
        <v>36</v>
      </c>
      <c r="E68" s="6">
        <v>1</v>
      </c>
      <c r="F68" t="s">
        <v>32</v>
      </c>
      <c r="G68" t="s">
        <v>259</v>
      </c>
      <c r="AB68" t="s">
        <v>173</v>
      </c>
      <c r="AC68" s="2">
        <v>43360.62462962963</v>
      </c>
      <c r="AD68" s="2">
        <f t="shared" si="1"/>
        <v>43360.332962962966</v>
      </c>
      <c r="AE68" t="s">
        <v>145</v>
      </c>
      <c r="AF68" s="2">
        <v>43360.62462962963</v>
      </c>
      <c r="AG68" t="s">
        <v>145</v>
      </c>
    </row>
    <row r="69" spans="1:33" x14ac:dyDescent="0.25">
      <c r="A69" s="4">
        <v>130</v>
      </c>
      <c r="B69" s="3">
        <v>43360</v>
      </c>
      <c r="C69" s="20">
        <v>43360.361666666679</v>
      </c>
      <c r="D69" t="s">
        <v>36</v>
      </c>
      <c r="E69" s="6">
        <v>1</v>
      </c>
      <c r="F69" t="s">
        <v>32</v>
      </c>
      <c r="G69" t="s">
        <v>259</v>
      </c>
      <c r="AB69" t="s">
        <v>224</v>
      </c>
      <c r="AC69" s="2">
        <v>43360.653333333343</v>
      </c>
      <c r="AD69" s="2">
        <f t="shared" si="1"/>
        <v>43360.361666666679</v>
      </c>
      <c r="AE69" t="s">
        <v>145</v>
      </c>
      <c r="AF69" s="2">
        <v>43360.653333333343</v>
      </c>
      <c r="AG69" t="s">
        <v>145</v>
      </c>
    </row>
    <row r="70" spans="1:33" x14ac:dyDescent="0.25">
      <c r="A70" s="4">
        <v>141</v>
      </c>
      <c r="B70" s="3">
        <v>43360</v>
      </c>
      <c r="C70" s="20">
        <v>43360.373622685198</v>
      </c>
      <c r="D70" t="s">
        <v>36</v>
      </c>
      <c r="E70" s="6">
        <v>1</v>
      </c>
      <c r="F70" t="s">
        <v>32</v>
      </c>
      <c r="G70" t="s">
        <v>259</v>
      </c>
      <c r="AB70" t="s">
        <v>235</v>
      </c>
      <c r="AC70" s="2">
        <v>43360.665289351862</v>
      </c>
      <c r="AD70" s="2">
        <f t="shared" si="1"/>
        <v>43360.373622685198</v>
      </c>
      <c r="AE70" t="s">
        <v>145</v>
      </c>
      <c r="AF70" s="2">
        <v>43360.665289351862</v>
      </c>
      <c r="AG70" t="s">
        <v>145</v>
      </c>
    </row>
    <row r="71" spans="1:33" x14ac:dyDescent="0.25">
      <c r="A71" s="4">
        <v>144</v>
      </c>
      <c r="B71" s="3">
        <v>43360</v>
      </c>
      <c r="C71" s="20">
        <v>43360.377187500009</v>
      </c>
      <c r="D71" t="s">
        <v>36</v>
      </c>
      <c r="E71" s="6">
        <v>2</v>
      </c>
      <c r="F71" t="s">
        <v>32</v>
      </c>
      <c r="G71" t="s">
        <v>259</v>
      </c>
      <c r="AB71" t="s">
        <v>238</v>
      </c>
      <c r="AC71" s="2">
        <v>43360.668854166674</v>
      </c>
      <c r="AD71" s="2">
        <f t="shared" si="1"/>
        <v>43360.377187500009</v>
      </c>
      <c r="AE71" t="s">
        <v>145</v>
      </c>
      <c r="AF71" s="2">
        <v>43360.668854166674</v>
      </c>
      <c r="AG71" t="s">
        <v>145</v>
      </c>
    </row>
    <row r="72" spans="1:33" x14ac:dyDescent="0.25">
      <c r="A72" s="4">
        <v>160</v>
      </c>
      <c r="B72" s="3">
        <v>43360</v>
      </c>
      <c r="C72" s="20">
        <v>43360.390428240746</v>
      </c>
      <c r="D72" t="s">
        <v>36</v>
      </c>
      <c r="E72" s="6">
        <v>3</v>
      </c>
      <c r="F72" t="s">
        <v>32</v>
      </c>
      <c r="G72" t="s">
        <v>259</v>
      </c>
      <c r="AB72" t="s">
        <v>255</v>
      </c>
      <c r="AC72" s="2">
        <v>43360.68209490741</v>
      </c>
      <c r="AD72" s="2">
        <f t="shared" si="1"/>
        <v>43360.390428240746</v>
      </c>
      <c r="AE72" t="s">
        <v>145</v>
      </c>
      <c r="AF72" s="2">
        <v>43360.682256944441</v>
      </c>
      <c r="AG72" t="s">
        <v>145</v>
      </c>
    </row>
    <row r="73" spans="1:33" x14ac:dyDescent="0.25">
      <c r="A73" s="4">
        <v>75</v>
      </c>
      <c r="B73" s="3">
        <v>43360</v>
      </c>
      <c r="C73" s="20">
        <v>43360.319502314815</v>
      </c>
      <c r="D73" t="s">
        <v>153</v>
      </c>
      <c r="E73" s="6">
        <v>1</v>
      </c>
      <c r="F73" t="s">
        <v>32</v>
      </c>
      <c r="G73" t="s">
        <v>259</v>
      </c>
      <c r="AB73" t="s">
        <v>154</v>
      </c>
      <c r="AC73" s="2">
        <v>43360.611168981479</v>
      </c>
      <c r="AD73" s="2">
        <f t="shared" si="1"/>
        <v>43360.319502314815</v>
      </c>
      <c r="AE73" t="s">
        <v>145</v>
      </c>
      <c r="AF73" s="2">
        <v>43360.611168981479</v>
      </c>
      <c r="AG73" t="s">
        <v>145</v>
      </c>
    </row>
    <row r="74" spans="1:33" x14ac:dyDescent="0.25">
      <c r="A74" s="4">
        <v>93</v>
      </c>
      <c r="B74" s="3">
        <v>43360</v>
      </c>
      <c r="C74" s="20">
        <v>43360.334548611114</v>
      </c>
      <c r="D74" t="s">
        <v>153</v>
      </c>
      <c r="E74" s="6">
        <v>1</v>
      </c>
      <c r="F74" t="s">
        <v>127</v>
      </c>
      <c r="G74" t="s">
        <v>259</v>
      </c>
      <c r="I74" t="s">
        <v>51</v>
      </c>
      <c r="AB74" t="s">
        <v>176</v>
      </c>
      <c r="AC74" s="2">
        <v>43360.626215277778</v>
      </c>
      <c r="AD74" s="2">
        <f t="shared" si="1"/>
        <v>43360.334548611114</v>
      </c>
      <c r="AE74" t="s">
        <v>145</v>
      </c>
      <c r="AF74" s="2">
        <v>43360.626215277778</v>
      </c>
      <c r="AG74" t="s">
        <v>145</v>
      </c>
    </row>
    <row r="75" spans="1:33" x14ac:dyDescent="0.25">
      <c r="A75" s="4">
        <v>14</v>
      </c>
      <c r="B75" s="3">
        <v>43360</v>
      </c>
      <c r="C75" s="20">
        <v>43360.331643518519</v>
      </c>
      <c r="D75" t="s">
        <v>60</v>
      </c>
      <c r="E75" s="6">
        <v>1</v>
      </c>
      <c r="F75" t="s">
        <v>32</v>
      </c>
      <c r="G75" t="s">
        <v>260</v>
      </c>
      <c r="I75" t="s">
        <v>42</v>
      </c>
      <c r="AB75" t="s">
        <v>61</v>
      </c>
      <c r="AC75" s="2">
        <v>43360.623310185183</v>
      </c>
      <c r="AD75" s="2">
        <f t="shared" si="1"/>
        <v>43360.331643518519</v>
      </c>
      <c r="AE75" t="s">
        <v>35</v>
      </c>
      <c r="AF75" s="2">
        <v>43360.623310185183</v>
      </c>
      <c r="AG75" t="s">
        <v>35</v>
      </c>
    </row>
    <row r="76" spans="1:33" x14ac:dyDescent="0.25">
      <c r="A76" s="4">
        <v>56</v>
      </c>
      <c r="B76" s="3">
        <v>43360</v>
      </c>
      <c r="C76" s="20">
        <v>43360.386620370373</v>
      </c>
      <c r="D76" t="s">
        <v>60</v>
      </c>
      <c r="E76" s="6">
        <v>18</v>
      </c>
      <c r="F76" t="s">
        <v>127</v>
      </c>
      <c r="G76" t="s">
        <v>260</v>
      </c>
      <c r="AB76" t="s">
        <v>129</v>
      </c>
      <c r="AC76" s="2">
        <v>43360.678287037037</v>
      </c>
      <c r="AD76" s="2">
        <f t="shared" si="1"/>
        <v>43360.386620370373</v>
      </c>
      <c r="AE76" t="s">
        <v>35</v>
      </c>
      <c r="AF76" s="2">
        <v>43360.678287037037</v>
      </c>
      <c r="AG76" t="s">
        <v>35</v>
      </c>
    </row>
    <row r="77" spans="1:33" x14ac:dyDescent="0.25">
      <c r="A77" s="4">
        <v>85</v>
      </c>
      <c r="B77" s="3">
        <v>43360</v>
      </c>
      <c r="C77" s="20">
        <v>43360.329664351855</v>
      </c>
      <c r="D77" t="s">
        <v>60</v>
      </c>
      <c r="E77" s="6">
        <v>4</v>
      </c>
      <c r="F77" t="s">
        <v>32</v>
      </c>
      <c r="G77" t="s">
        <v>259</v>
      </c>
      <c r="I77" t="s">
        <v>51</v>
      </c>
      <c r="AB77" t="s">
        <v>166</v>
      </c>
      <c r="AC77" s="2">
        <v>43360.621331018519</v>
      </c>
      <c r="AD77" s="2">
        <f t="shared" si="1"/>
        <v>43360.329664351855</v>
      </c>
      <c r="AE77" t="s">
        <v>145</v>
      </c>
      <c r="AF77" s="2">
        <v>43360.621331018519</v>
      </c>
      <c r="AG77" t="s">
        <v>145</v>
      </c>
    </row>
    <row r="78" spans="1:33" x14ac:dyDescent="0.25">
      <c r="A78" s="4">
        <v>103</v>
      </c>
      <c r="B78" s="3">
        <v>43360</v>
      </c>
      <c r="C78" s="20">
        <v>43360.341192129643</v>
      </c>
      <c r="D78" t="s">
        <v>60</v>
      </c>
      <c r="E78" s="6">
        <v>6</v>
      </c>
      <c r="F78" t="s">
        <v>32</v>
      </c>
      <c r="G78" t="s">
        <v>259</v>
      </c>
      <c r="AB78" t="s">
        <v>188</v>
      </c>
      <c r="AC78" s="2">
        <v>43360.632858796307</v>
      </c>
      <c r="AD78" s="2">
        <f t="shared" si="1"/>
        <v>43360.341192129643</v>
      </c>
      <c r="AE78" t="s">
        <v>145</v>
      </c>
      <c r="AF78" s="2">
        <v>43360.632858796307</v>
      </c>
      <c r="AG78" t="s">
        <v>145</v>
      </c>
    </row>
    <row r="79" spans="1:33" x14ac:dyDescent="0.25">
      <c r="A79" s="4">
        <v>104</v>
      </c>
      <c r="B79" s="3">
        <v>43360</v>
      </c>
      <c r="C79" s="20">
        <v>43360.342280092606</v>
      </c>
      <c r="D79" t="s">
        <v>60</v>
      </c>
      <c r="E79" s="6">
        <v>19</v>
      </c>
      <c r="F79" t="s">
        <v>32</v>
      </c>
      <c r="G79" t="s">
        <v>259</v>
      </c>
      <c r="AB79" t="s">
        <v>189</v>
      </c>
      <c r="AC79" s="2">
        <v>43360.63394675927</v>
      </c>
      <c r="AD79" s="2">
        <f t="shared" si="1"/>
        <v>43360.342280092606</v>
      </c>
      <c r="AE79" t="s">
        <v>145</v>
      </c>
      <c r="AF79" s="2">
        <v>43360.63394675927</v>
      </c>
      <c r="AG79" t="s">
        <v>145</v>
      </c>
    </row>
    <row r="80" spans="1:33" x14ac:dyDescent="0.25">
      <c r="A80" s="4">
        <v>107</v>
      </c>
      <c r="B80" s="3">
        <v>43360</v>
      </c>
      <c r="C80" s="20">
        <v>43360.343124999992</v>
      </c>
      <c r="D80" t="s">
        <v>60</v>
      </c>
      <c r="E80" s="6">
        <v>1</v>
      </c>
      <c r="F80" t="s">
        <v>32</v>
      </c>
      <c r="G80" t="s">
        <v>259</v>
      </c>
      <c r="AB80" t="s">
        <v>193</v>
      </c>
      <c r="AC80" s="2">
        <v>43360.634791666656</v>
      </c>
      <c r="AD80" s="2">
        <f t="shared" si="1"/>
        <v>43360.343124999992</v>
      </c>
      <c r="AE80" t="s">
        <v>145</v>
      </c>
      <c r="AF80" s="2">
        <v>43360.634791666656</v>
      </c>
      <c r="AG80" t="s">
        <v>145</v>
      </c>
    </row>
    <row r="81" spans="1:33" x14ac:dyDescent="0.25">
      <c r="A81" s="4">
        <v>111</v>
      </c>
      <c r="B81" s="3">
        <v>43360</v>
      </c>
      <c r="C81" s="20">
        <v>43360.345462962963</v>
      </c>
      <c r="D81" t="s">
        <v>60</v>
      </c>
      <c r="E81" s="6">
        <v>4</v>
      </c>
      <c r="F81" t="s">
        <v>32</v>
      </c>
      <c r="G81" t="s">
        <v>259</v>
      </c>
      <c r="H81" t="s">
        <v>197</v>
      </c>
      <c r="I81" t="s">
        <v>42</v>
      </c>
      <c r="AB81" t="s">
        <v>198</v>
      </c>
      <c r="AC81" s="2">
        <v>43360.637129629627</v>
      </c>
      <c r="AD81" s="2">
        <f t="shared" si="1"/>
        <v>43360.345462962963</v>
      </c>
      <c r="AE81" t="s">
        <v>145</v>
      </c>
      <c r="AF81" s="2">
        <v>43360.637129629627</v>
      </c>
      <c r="AG81" t="s">
        <v>145</v>
      </c>
    </row>
    <row r="82" spans="1:33" x14ac:dyDescent="0.25">
      <c r="A82" s="4">
        <v>49</v>
      </c>
      <c r="B82" s="3">
        <v>43360</v>
      </c>
      <c r="C82" s="20">
        <v>43360.380057870374</v>
      </c>
      <c r="D82" t="s">
        <v>118</v>
      </c>
      <c r="E82" s="6">
        <v>1</v>
      </c>
      <c r="F82" t="s">
        <v>32</v>
      </c>
      <c r="G82" t="s">
        <v>260</v>
      </c>
      <c r="AB82" t="s">
        <v>119</v>
      </c>
      <c r="AC82" s="2">
        <v>43360.671724537038</v>
      </c>
      <c r="AD82" s="2">
        <f t="shared" si="1"/>
        <v>43360.380057870374</v>
      </c>
      <c r="AE82" t="s">
        <v>35</v>
      </c>
      <c r="AF82" s="2">
        <v>43360.671724537038</v>
      </c>
      <c r="AG82" t="s">
        <v>35</v>
      </c>
    </row>
    <row r="83" spans="1:33" x14ac:dyDescent="0.25">
      <c r="A83" s="4">
        <v>50</v>
      </c>
      <c r="B83" s="3">
        <v>43360</v>
      </c>
      <c r="C83" s="20">
        <v>43360.380254629643</v>
      </c>
      <c r="D83" t="s">
        <v>118</v>
      </c>
      <c r="E83" s="6">
        <v>1</v>
      </c>
      <c r="F83" t="s">
        <v>32</v>
      </c>
      <c r="G83" t="s">
        <v>260</v>
      </c>
      <c r="AB83" t="s">
        <v>120</v>
      </c>
      <c r="AC83" s="2">
        <v>43360.671921296307</v>
      </c>
      <c r="AD83" s="2">
        <f t="shared" si="1"/>
        <v>43360.380254629643</v>
      </c>
      <c r="AE83" t="s">
        <v>35</v>
      </c>
      <c r="AF83" s="2">
        <v>43360.671921296307</v>
      </c>
      <c r="AG83" t="s">
        <v>35</v>
      </c>
    </row>
    <row r="84" spans="1:33" x14ac:dyDescent="0.25">
      <c r="A84" s="4">
        <v>52</v>
      </c>
      <c r="B84" s="3">
        <v>43360</v>
      </c>
      <c r="C84" s="20">
        <v>43360.381331018529</v>
      </c>
      <c r="D84" t="s">
        <v>118</v>
      </c>
      <c r="E84" s="6">
        <v>1</v>
      </c>
      <c r="F84" t="s">
        <v>32</v>
      </c>
      <c r="G84" t="s">
        <v>260</v>
      </c>
      <c r="AB84" t="s">
        <v>122</v>
      </c>
      <c r="AC84" s="2">
        <v>43360.672997685193</v>
      </c>
      <c r="AD84" s="2">
        <f t="shared" si="1"/>
        <v>43360.381331018529</v>
      </c>
      <c r="AE84" t="s">
        <v>35</v>
      </c>
      <c r="AF84" s="2">
        <v>43360.672997685193</v>
      </c>
      <c r="AG84" t="s">
        <v>35</v>
      </c>
    </row>
    <row r="85" spans="1:33" x14ac:dyDescent="0.25">
      <c r="A85" s="4">
        <v>68</v>
      </c>
      <c r="B85" s="3">
        <v>43360</v>
      </c>
      <c r="C85" s="20">
        <v>43360.406631944446</v>
      </c>
      <c r="D85" t="s">
        <v>118</v>
      </c>
      <c r="E85" s="6">
        <v>3</v>
      </c>
      <c r="F85" t="s">
        <v>32</v>
      </c>
      <c r="G85" t="s">
        <v>260</v>
      </c>
      <c r="AB85" t="s">
        <v>141</v>
      </c>
      <c r="AC85" s="2">
        <v>43360.698298611111</v>
      </c>
      <c r="AD85" s="2">
        <f t="shared" si="1"/>
        <v>43360.406631944446</v>
      </c>
      <c r="AE85" t="s">
        <v>35</v>
      </c>
      <c r="AF85" s="2">
        <v>43360.698298611111</v>
      </c>
      <c r="AG85" t="s">
        <v>35</v>
      </c>
    </row>
    <row r="86" spans="1:33" x14ac:dyDescent="0.25">
      <c r="A86" s="4">
        <v>11</v>
      </c>
      <c r="B86" s="3">
        <v>43360</v>
      </c>
      <c r="C86" s="20">
        <v>43360.329282407409</v>
      </c>
      <c r="D86" t="s">
        <v>55</v>
      </c>
      <c r="E86" s="6">
        <v>1</v>
      </c>
      <c r="F86" t="s">
        <v>32</v>
      </c>
      <c r="G86" t="s">
        <v>260</v>
      </c>
      <c r="I86" t="s">
        <v>51</v>
      </c>
      <c r="AB86" t="s">
        <v>56</v>
      </c>
      <c r="AC86" s="2">
        <v>43360.620949074073</v>
      </c>
      <c r="AD86" s="2">
        <f t="shared" si="1"/>
        <v>43360.329282407409</v>
      </c>
      <c r="AE86" t="s">
        <v>35</v>
      </c>
      <c r="AF86" s="2">
        <v>43360.620949074073</v>
      </c>
      <c r="AG86" t="s">
        <v>35</v>
      </c>
    </row>
    <row r="87" spans="1:33" x14ac:dyDescent="0.25">
      <c r="A87" s="4">
        <v>110</v>
      </c>
      <c r="B87" s="3">
        <v>43360</v>
      </c>
      <c r="C87" s="20">
        <v>43360.344733796293</v>
      </c>
      <c r="D87" t="s">
        <v>55</v>
      </c>
      <c r="E87" s="6">
        <v>1</v>
      </c>
      <c r="F87" t="s">
        <v>32</v>
      </c>
      <c r="G87" t="s">
        <v>259</v>
      </c>
      <c r="AB87" t="s">
        <v>196</v>
      </c>
      <c r="AC87" s="2">
        <v>43360.636400462958</v>
      </c>
      <c r="AD87" s="2">
        <f t="shared" si="1"/>
        <v>43360.344733796293</v>
      </c>
      <c r="AE87" t="s">
        <v>145</v>
      </c>
      <c r="AF87" s="2">
        <v>43360.636400462958</v>
      </c>
      <c r="AG87" t="s">
        <v>145</v>
      </c>
    </row>
    <row r="88" spans="1:33" x14ac:dyDescent="0.25">
      <c r="A88" s="4">
        <v>112</v>
      </c>
      <c r="B88" s="3">
        <v>43360</v>
      </c>
      <c r="C88" s="20">
        <v>43360.345902777779</v>
      </c>
      <c r="D88" t="s">
        <v>199</v>
      </c>
      <c r="E88" s="6">
        <v>1</v>
      </c>
      <c r="F88" t="s">
        <v>32</v>
      </c>
      <c r="G88" t="s">
        <v>259</v>
      </c>
      <c r="AB88" t="s">
        <v>200</v>
      </c>
      <c r="AC88" s="2">
        <v>43360.637569444443</v>
      </c>
      <c r="AD88" s="2">
        <f t="shared" si="1"/>
        <v>43360.345902777779</v>
      </c>
      <c r="AE88" t="s">
        <v>145</v>
      </c>
      <c r="AF88" s="2">
        <v>43360.637569444443</v>
      </c>
      <c r="AG88" t="s">
        <v>145</v>
      </c>
    </row>
    <row r="89" spans="1:33" x14ac:dyDescent="0.25">
      <c r="A89" s="4">
        <v>74</v>
      </c>
      <c r="B89" s="3">
        <v>43360</v>
      </c>
      <c r="C89" s="20">
        <v>43360.319143518529</v>
      </c>
      <c r="D89" t="s">
        <v>151</v>
      </c>
      <c r="E89" s="6">
        <v>1</v>
      </c>
      <c r="F89" t="s">
        <v>32</v>
      </c>
      <c r="G89" t="s">
        <v>259</v>
      </c>
      <c r="AB89" t="s">
        <v>152</v>
      </c>
      <c r="AC89" s="2">
        <v>43360.610810185193</v>
      </c>
      <c r="AD89" s="2">
        <f t="shared" si="1"/>
        <v>43360.319143518529</v>
      </c>
      <c r="AE89" t="s">
        <v>145</v>
      </c>
      <c r="AF89" s="2">
        <v>43360.610810185193</v>
      </c>
      <c r="AG89" t="s">
        <v>145</v>
      </c>
    </row>
    <row r="90" spans="1:33" x14ac:dyDescent="0.25">
      <c r="A90" s="4">
        <v>135</v>
      </c>
      <c r="B90" s="3">
        <v>43360</v>
      </c>
      <c r="C90" s="20">
        <v>43360.368993055556</v>
      </c>
      <c r="D90" t="s">
        <v>151</v>
      </c>
      <c r="E90" s="6">
        <v>2</v>
      </c>
      <c r="F90" t="s">
        <v>32</v>
      </c>
      <c r="G90" t="s">
        <v>259</v>
      </c>
      <c r="AB90" t="s">
        <v>229</v>
      </c>
      <c r="AC90" s="2">
        <v>43360.66065972222</v>
      </c>
      <c r="AD90" s="2">
        <f t="shared" si="1"/>
        <v>43360.368993055556</v>
      </c>
      <c r="AE90" t="s">
        <v>145</v>
      </c>
      <c r="AF90" s="2">
        <v>43360.66065972222</v>
      </c>
      <c r="AG90" t="s">
        <v>145</v>
      </c>
    </row>
    <row r="91" spans="1:33" x14ac:dyDescent="0.25">
      <c r="A91" s="4">
        <v>41</v>
      </c>
      <c r="B91" s="3">
        <v>43360</v>
      </c>
      <c r="C91" s="20">
        <v>43360.369525462964</v>
      </c>
      <c r="D91" t="s">
        <v>107</v>
      </c>
      <c r="E91" s="6">
        <v>3</v>
      </c>
      <c r="F91" t="s">
        <v>32</v>
      </c>
      <c r="G91" t="s">
        <v>260</v>
      </c>
      <c r="AB91" t="s">
        <v>108</v>
      </c>
      <c r="AC91" s="2">
        <v>43360.661192129628</v>
      </c>
      <c r="AD91" s="2">
        <f t="shared" si="1"/>
        <v>43360.369525462964</v>
      </c>
      <c r="AE91" t="s">
        <v>35</v>
      </c>
      <c r="AF91" s="2">
        <v>43360.661192129628</v>
      </c>
      <c r="AG91" t="s">
        <v>35</v>
      </c>
    </row>
    <row r="92" spans="1:33" x14ac:dyDescent="0.25">
      <c r="A92" s="4">
        <v>64</v>
      </c>
      <c r="B92" s="3">
        <v>43360</v>
      </c>
      <c r="C92" s="20">
        <v>43360.391770833347</v>
      </c>
      <c r="D92" t="s">
        <v>107</v>
      </c>
      <c r="E92" s="6">
        <v>5</v>
      </c>
      <c r="F92" t="s">
        <v>32</v>
      </c>
      <c r="G92" t="s">
        <v>260</v>
      </c>
      <c r="AB92" t="s">
        <v>137</v>
      </c>
      <c r="AC92" s="2">
        <v>43360.683437500011</v>
      </c>
      <c r="AD92" s="2">
        <f t="shared" si="1"/>
        <v>43360.391770833347</v>
      </c>
      <c r="AE92" t="s">
        <v>35</v>
      </c>
      <c r="AF92" s="2">
        <v>43360.683437500011</v>
      </c>
      <c r="AG92" t="s">
        <v>35</v>
      </c>
    </row>
    <row r="93" spans="1:33" x14ac:dyDescent="0.25">
      <c r="A93" s="4">
        <v>65</v>
      </c>
      <c r="B93" s="3">
        <v>43360</v>
      </c>
      <c r="C93" s="20">
        <v>43360.395810185182</v>
      </c>
      <c r="D93" t="s">
        <v>107</v>
      </c>
      <c r="E93" s="6">
        <v>10</v>
      </c>
      <c r="F93" t="s">
        <v>32</v>
      </c>
      <c r="G93" t="s">
        <v>260</v>
      </c>
      <c r="AB93" t="s">
        <v>138</v>
      </c>
      <c r="AC93" s="2">
        <v>43360.687476851846</v>
      </c>
      <c r="AD93" s="2">
        <f t="shared" si="1"/>
        <v>43360.395810185182</v>
      </c>
      <c r="AE93" t="s">
        <v>35</v>
      </c>
      <c r="AF93" s="2">
        <v>43360.687476851846</v>
      </c>
      <c r="AG93" t="s">
        <v>35</v>
      </c>
    </row>
    <row r="94" spans="1:33" x14ac:dyDescent="0.25">
      <c r="A94" s="4">
        <v>77</v>
      </c>
      <c r="B94" s="3">
        <v>43360</v>
      </c>
      <c r="C94" s="20">
        <v>43360.321458333347</v>
      </c>
      <c r="D94" t="s">
        <v>107</v>
      </c>
      <c r="E94" s="6">
        <v>8</v>
      </c>
      <c r="F94" t="s">
        <v>32</v>
      </c>
      <c r="G94" t="s">
        <v>259</v>
      </c>
      <c r="I94" t="s">
        <v>51</v>
      </c>
      <c r="AB94" t="s">
        <v>156</v>
      </c>
      <c r="AC94" s="2">
        <v>43360.613125000011</v>
      </c>
      <c r="AD94" s="2">
        <f t="shared" si="1"/>
        <v>43360.321458333347</v>
      </c>
      <c r="AE94" t="s">
        <v>145</v>
      </c>
      <c r="AF94" s="2">
        <v>43360.616435185177</v>
      </c>
      <c r="AG94" t="s">
        <v>145</v>
      </c>
    </row>
    <row r="95" spans="1:33" x14ac:dyDescent="0.25">
      <c r="A95" s="4">
        <v>115</v>
      </c>
      <c r="B95" s="3">
        <v>43360</v>
      </c>
      <c r="C95" s="20">
        <v>43360.349398148159</v>
      </c>
      <c r="D95" t="s">
        <v>107</v>
      </c>
      <c r="E95" s="6">
        <v>4</v>
      </c>
      <c r="F95" t="s">
        <v>32</v>
      </c>
      <c r="G95" t="s">
        <v>259</v>
      </c>
      <c r="AB95" t="s">
        <v>203</v>
      </c>
      <c r="AC95" s="2">
        <v>43360.641064814823</v>
      </c>
      <c r="AD95" s="2">
        <f t="shared" si="1"/>
        <v>43360.349398148159</v>
      </c>
      <c r="AE95" t="s">
        <v>145</v>
      </c>
      <c r="AF95" s="2">
        <v>43360.641064814823</v>
      </c>
      <c r="AG95" t="s">
        <v>145</v>
      </c>
    </row>
    <row r="96" spans="1:33" x14ac:dyDescent="0.25">
      <c r="A96" s="4">
        <v>120</v>
      </c>
      <c r="B96" s="3">
        <v>43360</v>
      </c>
      <c r="C96" s="20">
        <v>43360.356018518512</v>
      </c>
      <c r="D96" t="s">
        <v>107</v>
      </c>
      <c r="E96" s="6">
        <v>4</v>
      </c>
      <c r="F96" t="s">
        <v>32</v>
      </c>
      <c r="G96" t="s">
        <v>259</v>
      </c>
      <c r="AB96" t="s">
        <v>211</v>
      </c>
      <c r="AC96" s="2">
        <v>43360.647685185177</v>
      </c>
      <c r="AD96" s="2">
        <f t="shared" si="1"/>
        <v>43360.356018518512</v>
      </c>
      <c r="AE96" t="s">
        <v>145</v>
      </c>
      <c r="AF96" s="2">
        <v>43360.647685185177</v>
      </c>
      <c r="AG96" t="s">
        <v>145</v>
      </c>
    </row>
    <row r="97" spans="1:33" x14ac:dyDescent="0.25">
      <c r="A97" s="4">
        <v>132</v>
      </c>
      <c r="B97" s="3">
        <v>43360</v>
      </c>
      <c r="C97" s="20">
        <v>43360.365104166667</v>
      </c>
      <c r="D97" t="s">
        <v>107</v>
      </c>
      <c r="E97" s="6">
        <v>6</v>
      </c>
      <c r="F97" t="s">
        <v>32</v>
      </c>
      <c r="G97" t="s">
        <v>259</v>
      </c>
      <c r="AB97" t="s">
        <v>226</v>
      </c>
      <c r="AC97" s="2">
        <v>43360.656770833331</v>
      </c>
      <c r="AD97" s="2">
        <f t="shared" si="1"/>
        <v>43360.365104166667</v>
      </c>
      <c r="AE97" t="s">
        <v>145</v>
      </c>
      <c r="AF97" s="2">
        <v>43360.656770833331</v>
      </c>
      <c r="AG97" t="s">
        <v>145</v>
      </c>
    </row>
    <row r="98" spans="1:33" x14ac:dyDescent="0.25">
      <c r="A98" s="4">
        <v>105</v>
      </c>
      <c r="B98" s="3">
        <v>43360</v>
      </c>
      <c r="C98" s="20">
        <v>43360.342557870375</v>
      </c>
      <c r="D98" t="s">
        <v>190</v>
      </c>
      <c r="E98" s="6">
        <v>1</v>
      </c>
      <c r="F98" t="s">
        <v>32</v>
      </c>
      <c r="G98" t="s">
        <v>259</v>
      </c>
      <c r="AB98" t="s">
        <v>191</v>
      </c>
      <c r="AC98" s="2">
        <v>43360.63422453704</v>
      </c>
      <c r="AD98" s="2">
        <f t="shared" si="1"/>
        <v>43360.342557870375</v>
      </c>
      <c r="AE98" t="s">
        <v>145</v>
      </c>
      <c r="AF98" s="2">
        <v>43360.63422453704</v>
      </c>
      <c r="AG98" t="s">
        <v>145</v>
      </c>
    </row>
    <row r="99" spans="1:33" x14ac:dyDescent="0.25">
      <c r="A99" s="4">
        <v>19</v>
      </c>
      <c r="B99" s="3">
        <v>43360</v>
      </c>
      <c r="C99" s="20">
        <v>43360.342569444445</v>
      </c>
      <c r="D99" t="s">
        <v>68</v>
      </c>
      <c r="E99" s="6">
        <v>1</v>
      </c>
      <c r="F99" t="s">
        <v>32</v>
      </c>
      <c r="G99" t="s">
        <v>260</v>
      </c>
      <c r="I99" t="s">
        <v>33</v>
      </c>
      <c r="AB99" t="s">
        <v>69</v>
      </c>
      <c r="AC99" s="2">
        <v>43360.634236111109</v>
      </c>
      <c r="AD99" s="2">
        <f t="shared" si="1"/>
        <v>43360.342569444445</v>
      </c>
      <c r="AE99" t="s">
        <v>35</v>
      </c>
      <c r="AF99" s="2">
        <v>43360.634236111109</v>
      </c>
      <c r="AG99" t="s">
        <v>35</v>
      </c>
    </row>
    <row r="100" spans="1:33" x14ac:dyDescent="0.25">
      <c r="A100" s="4">
        <v>89</v>
      </c>
      <c r="B100" s="3">
        <v>43360</v>
      </c>
      <c r="C100" s="20">
        <v>43360.332118055558</v>
      </c>
      <c r="D100" t="s">
        <v>68</v>
      </c>
      <c r="E100" s="6">
        <v>2</v>
      </c>
      <c r="F100" t="s">
        <v>32</v>
      </c>
      <c r="G100" t="s">
        <v>259</v>
      </c>
      <c r="I100" t="s">
        <v>33</v>
      </c>
      <c r="AB100" t="s">
        <v>171</v>
      </c>
      <c r="AC100" s="2">
        <v>43360.623784722222</v>
      </c>
      <c r="AD100" s="2">
        <f t="shared" si="1"/>
        <v>43360.332118055558</v>
      </c>
      <c r="AE100" t="s">
        <v>145</v>
      </c>
      <c r="AF100" s="2">
        <v>43360.624421296307</v>
      </c>
      <c r="AG100" t="s">
        <v>145</v>
      </c>
    </row>
    <row r="101" spans="1:33" x14ac:dyDescent="0.25">
      <c r="A101" s="4">
        <v>53</v>
      </c>
      <c r="B101" s="3">
        <v>43360</v>
      </c>
      <c r="C101" s="20">
        <v>43360.385312500002</v>
      </c>
      <c r="D101" t="s">
        <v>123</v>
      </c>
      <c r="E101" s="6">
        <v>1</v>
      </c>
      <c r="F101" t="s">
        <v>32</v>
      </c>
      <c r="G101" t="s">
        <v>260</v>
      </c>
      <c r="AB101" t="s">
        <v>124</v>
      </c>
      <c r="AC101" s="2">
        <v>43360.676979166667</v>
      </c>
      <c r="AD101" s="2">
        <f t="shared" si="1"/>
        <v>43360.385312500002</v>
      </c>
      <c r="AE101" t="s">
        <v>35</v>
      </c>
      <c r="AF101" s="2">
        <v>43360.676979166667</v>
      </c>
      <c r="AG101" t="s">
        <v>35</v>
      </c>
    </row>
    <row r="102" spans="1:33" x14ac:dyDescent="0.25">
      <c r="A102" s="4">
        <v>4</v>
      </c>
      <c r="B102" s="3">
        <v>43360</v>
      </c>
      <c r="C102" s="20">
        <v>43360.324108796296</v>
      </c>
      <c r="D102" t="s">
        <v>39</v>
      </c>
      <c r="E102" s="6">
        <v>2</v>
      </c>
      <c r="F102" t="s">
        <v>32</v>
      </c>
      <c r="G102" t="s">
        <v>260</v>
      </c>
      <c r="AB102" t="s">
        <v>40</v>
      </c>
      <c r="AC102" s="2">
        <v>43360.61577546296</v>
      </c>
      <c r="AD102" s="2">
        <f t="shared" si="1"/>
        <v>43360.324108796296</v>
      </c>
      <c r="AE102" t="s">
        <v>35</v>
      </c>
      <c r="AF102" s="2">
        <v>43360.61577546296</v>
      </c>
      <c r="AG102" t="s">
        <v>35</v>
      </c>
    </row>
    <row r="103" spans="1:33" x14ac:dyDescent="0.25">
      <c r="A103" s="4">
        <v>150</v>
      </c>
      <c r="B103" s="3">
        <v>43360</v>
      </c>
      <c r="C103" s="20">
        <v>43360.382118055553</v>
      </c>
      <c r="D103" t="s">
        <v>244</v>
      </c>
      <c r="E103" s="6">
        <v>32</v>
      </c>
      <c r="F103" t="s">
        <v>32</v>
      </c>
      <c r="G103" t="s">
        <v>259</v>
      </c>
      <c r="AB103" t="s">
        <v>245</v>
      </c>
      <c r="AC103" s="2">
        <v>43360.673784722218</v>
      </c>
      <c r="AD103" s="2">
        <f t="shared" si="1"/>
        <v>43360.382118055553</v>
      </c>
      <c r="AE103" t="s">
        <v>145</v>
      </c>
      <c r="AF103" s="2">
        <v>43360.673784722218</v>
      </c>
      <c r="AG103" t="s">
        <v>145</v>
      </c>
    </row>
    <row r="104" spans="1:33" x14ac:dyDescent="0.25">
      <c r="A104" s="4">
        <v>36</v>
      </c>
      <c r="B104" s="3">
        <v>43360</v>
      </c>
      <c r="C104" s="20">
        <v>43360.366898148153</v>
      </c>
      <c r="D104" t="s">
        <v>97</v>
      </c>
      <c r="E104" s="6">
        <v>1</v>
      </c>
      <c r="F104" t="s">
        <v>32</v>
      </c>
      <c r="G104" t="s">
        <v>260</v>
      </c>
      <c r="I104" t="s">
        <v>51</v>
      </c>
      <c r="AB104" t="s">
        <v>98</v>
      </c>
      <c r="AC104" s="2">
        <v>43360.658564814818</v>
      </c>
      <c r="AD104" s="2">
        <f t="shared" si="1"/>
        <v>43360.366898148153</v>
      </c>
      <c r="AE104" t="s">
        <v>35</v>
      </c>
      <c r="AF104" s="2">
        <v>43360.658564814818</v>
      </c>
      <c r="AG104" t="s">
        <v>35</v>
      </c>
    </row>
    <row r="105" spans="1:33" x14ac:dyDescent="0.25">
      <c r="A105" s="4">
        <v>161</v>
      </c>
      <c r="B105" s="3">
        <v>43360</v>
      </c>
      <c r="C105" s="20">
        <v>43360.391203703708</v>
      </c>
      <c r="D105" t="s">
        <v>97</v>
      </c>
      <c r="E105" s="6">
        <v>1</v>
      </c>
      <c r="F105" t="s">
        <v>127</v>
      </c>
      <c r="G105" t="s">
        <v>259</v>
      </c>
      <c r="M105" t="s">
        <v>256</v>
      </c>
      <c r="AB105" t="s">
        <v>257</v>
      </c>
      <c r="AC105" s="2">
        <v>43360.682870370372</v>
      </c>
      <c r="AD105" s="2">
        <f t="shared" si="1"/>
        <v>43360.391203703708</v>
      </c>
      <c r="AE105" t="s">
        <v>145</v>
      </c>
      <c r="AF105" s="2">
        <v>43360.690706018519</v>
      </c>
      <c r="AG105" t="s">
        <v>145</v>
      </c>
    </row>
    <row r="106" spans="1:33" x14ac:dyDescent="0.25">
      <c r="A106" s="4">
        <v>25</v>
      </c>
      <c r="B106" s="3">
        <v>43360</v>
      </c>
      <c r="C106" s="20">
        <v>43360.352268518523</v>
      </c>
      <c r="D106" t="s">
        <v>77</v>
      </c>
      <c r="E106" s="6">
        <v>1</v>
      </c>
      <c r="F106" t="s">
        <v>32</v>
      </c>
      <c r="G106" t="s">
        <v>260</v>
      </c>
      <c r="AB106" t="s">
        <v>78</v>
      </c>
      <c r="AC106" s="2">
        <v>43360.643935185188</v>
      </c>
      <c r="AD106" s="2">
        <f t="shared" si="1"/>
        <v>43360.352268518523</v>
      </c>
      <c r="AE106" t="s">
        <v>35</v>
      </c>
      <c r="AF106" s="2">
        <v>43360.643935185188</v>
      </c>
      <c r="AG106" t="s">
        <v>35</v>
      </c>
    </row>
    <row r="107" spans="1:33" x14ac:dyDescent="0.25">
      <c r="A107" s="4">
        <v>138</v>
      </c>
      <c r="B107" s="3">
        <v>43360</v>
      </c>
      <c r="C107" s="20">
        <v>43360.370011574087</v>
      </c>
      <c r="D107" t="s">
        <v>77</v>
      </c>
      <c r="E107" s="6">
        <v>2</v>
      </c>
      <c r="F107" t="s">
        <v>32</v>
      </c>
      <c r="G107" t="s">
        <v>259</v>
      </c>
      <c r="AB107" t="s">
        <v>232</v>
      </c>
      <c r="AC107" s="2">
        <v>43360.661678240751</v>
      </c>
      <c r="AD107" s="2">
        <f t="shared" si="1"/>
        <v>43360.370011574087</v>
      </c>
      <c r="AE107" t="s">
        <v>145</v>
      </c>
      <c r="AF107" s="2">
        <v>43360.661678240751</v>
      </c>
      <c r="AG107" t="s">
        <v>145</v>
      </c>
    </row>
    <row r="108" spans="1:33" x14ac:dyDescent="0.25">
      <c r="A108" s="4">
        <v>92</v>
      </c>
      <c r="B108" s="3">
        <v>43360</v>
      </c>
      <c r="C108" s="20">
        <v>43360.333564814828</v>
      </c>
      <c r="D108" t="s">
        <v>174</v>
      </c>
      <c r="E108" s="6">
        <v>1</v>
      </c>
      <c r="F108" t="s">
        <v>32</v>
      </c>
      <c r="G108" t="s">
        <v>259</v>
      </c>
      <c r="I108" t="s">
        <v>42</v>
      </c>
      <c r="AB108" t="s">
        <v>175</v>
      </c>
      <c r="AC108" s="2">
        <v>43360.625231481492</v>
      </c>
      <c r="AD108" s="2">
        <f t="shared" si="1"/>
        <v>43360.333564814828</v>
      </c>
      <c r="AE108" t="s">
        <v>145</v>
      </c>
      <c r="AF108" s="2">
        <v>43360.625231481492</v>
      </c>
      <c r="AG108" t="s">
        <v>145</v>
      </c>
    </row>
    <row r="109" spans="1:33" x14ac:dyDescent="0.25">
      <c r="A109" s="4">
        <v>102</v>
      </c>
      <c r="B109" s="3">
        <v>43360</v>
      </c>
      <c r="C109" s="20">
        <v>43360.341053240743</v>
      </c>
      <c r="D109" t="s">
        <v>186</v>
      </c>
      <c r="E109" s="6">
        <v>1</v>
      </c>
      <c r="F109" t="s">
        <v>32</v>
      </c>
      <c r="G109" t="s">
        <v>259</v>
      </c>
      <c r="AB109" t="s">
        <v>187</v>
      </c>
      <c r="AC109" s="2">
        <v>43360.632719907408</v>
      </c>
      <c r="AD109" s="2">
        <f t="shared" si="1"/>
        <v>43360.341053240743</v>
      </c>
      <c r="AE109" t="s">
        <v>145</v>
      </c>
      <c r="AF109" s="2">
        <v>43360.632719907408</v>
      </c>
      <c r="AG109" t="s">
        <v>145</v>
      </c>
    </row>
    <row r="110" spans="1:33" x14ac:dyDescent="0.25">
      <c r="A110" s="4">
        <v>15</v>
      </c>
      <c r="B110" s="3">
        <v>43360</v>
      </c>
      <c r="C110" s="20">
        <v>43360.333125000005</v>
      </c>
      <c r="D110" t="s">
        <v>62</v>
      </c>
      <c r="E110" s="6">
        <v>1</v>
      </c>
      <c r="F110" t="s">
        <v>32</v>
      </c>
      <c r="G110" t="s">
        <v>260</v>
      </c>
      <c r="I110" t="s">
        <v>51</v>
      </c>
      <c r="AB110" t="s">
        <v>63</v>
      </c>
      <c r="AC110" s="2">
        <v>43360.624791666669</v>
      </c>
      <c r="AD110" s="2">
        <f t="shared" si="1"/>
        <v>43360.333125000005</v>
      </c>
      <c r="AE110" t="s">
        <v>35</v>
      </c>
      <c r="AF110" s="2">
        <v>43360.624791666669</v>
      </c>
      <c r="AG110" t="s">
        <v>35</v>
      </c>
    </row>
    <row r="111" spans="1:33" x14ac:dyDescent="0.25">
      <c r="A111" s="4">
        <v>21</v>
      </c>
      <c r="B111" s="3">
        <v>43360</v>
      </c>
      <c r="C111" s="20">
        <v>43360.343159722222</v>
      </c>
      <c r="D111" t="s">
        <v>62</v>
      </c>
      <c r="E111" s="6">
        <v>1</v>
      </c>
      <c r="F111" t="s">
        <v>32</v>
      </c>
      <c r="G111" t="s">
        <v>260</v>
      </c>
      <c r="I111" t="s">
        <v>33</v>
      </c>
      <c r="AB111" t="s">
        <v>72</v>
      </c>
      <c r="AC111" s="2">
        <v>43360.634826388887</v>
      </c>
      <c r="AD111" s="2">
        <f t="shared" si="1"/>
        <v>43360.343159722222</v>
      </c>
      <c r="AE111" t="s">
        <v>35</v>
      </c>
      <c r="AF111" s="2">
        <v>43360.634826388887</v>
      </c>
      <c r="AG111" t="s">
        <v>35</v>
      </c>
    </row>
    <row r="112" spans="1:33" x14ac:dyDescent="0.25">
      <c r="A112" s="4">
        <v>23</v>
      </c>
      <c r="B112" s="3">
        <v>43360</v>
      </c>
      <c r="C112" s="20">
        <v>43360.344768518538</v>
      </c>
      <c r="D112" t="s">
        <v>62</v>
      </c>
      <c r="E112" s="6">
        <v>1</v>
      </c>
      <c r="F112" t="s">
        <v>32</v>
      </c>
      <c r="G112" t="s">
        <v>260</v>
      </c>
      <c r="I112" t="s">
        <v>33</v>
      </c>
      <c r="AB112" t="s">
        <v>74</v>
      </c>
      <c r="AC112" s="2">
        <v>43360.636435185203</v>
      </c>
      <c r="AD112" s="2">
        <f t="shared" si="1"/>
        <v>43360.344768518538</v>
      </c>
      <c r="AE112" t="s">
        <v>35</v>
      </c>
      <c r="AF112" s="2">
        <v>43360.636435185203</v>
      </c>
      <c r="AG112" t="s">
        <v>35</v>
      </c>
    </row>
    <row r="113" spans="1:33" x14ac:dyDescent="0.25">
      <c r="A113" s="4">
        <v>153</v>
      </c>
      <c r="B113" s="3">
        <v>43360</v>
      </c>
      <c r="C113" s="20">
        <v>43360.386180555557</v>
      </c>
      <c r="D113" t="s">
        <v>62</v>
      </c>
      <c r="E113" s="6">
        <v>1</v>
      </c>
      <c r="F113" t="s">
        <v>32</v>
      </c>
      <c r="G113" t="s">
        <v>259</v>
      </c>
      <c r="AB113" t="s">
        <v>248</v>
      </c>
      <c r="AC113" s="2">
        <v>43360.677847222221</v>
      </c>
      <c r="AD113" s="2">
        <f t="shared" si="1"/>
        <v>43360.386180555557</v>
      </c>
      <c r="AE113" t="s">
        <v>145</v>
      </c>
      <c r="AF113" s="2">
        <v>43360.677847222221</v>
      </c>
      <c r="AG113" t="s">
        <v>145</v>
      </c>
    </row>
    <row r="114" spans="1:33" x14ac:dyDescent="0.25">
      <c r="A114" s="4">
        <v>18</v>
      </c>
      <c r="B114" s="3">
        <v>43360</v>
      </c>
      <c r="C114" s="20">
        <v>43360.336157407408</v>
      </c>
      <c r="D114" t="s">
        <v>66</v>
      </c>
      <c r="E114" s="6">
        <v>1</v>
      </c>
      <c r="F114" t="s">
        <v>32</v>
      </c>
      <c r="G114" t="s">
        <v>260</v>
      </c>
      <c r="I114" t="s">
        <v>51</v>
      </c>
      <c r="AB114" t="s">
        <v>67</v>
      </c>
      <c r="AC114" s="2">
        <v>43360.627824074072</v>
      </c>
      <c r="AD114" s="2">
        <f t="shared" si="1"/>
        <v>43360.336157407408</v>
      </c>
      <c r="AE114" t="s">
        <v>35</v>
      </c>
      <c r="AF114" s="2">
        <v>43360.627824074072</v>
      </c>
      <c r="AG114" t="s">
        <v>35</v>
      </c>
    </row>
    <row r="115" spans="1:33" x14ac:dyDescent="0.25">
      <c r="A115" s="4">
        <v>5</v>
      </c>
      <c r="B115" s="3">
        <v>43360</v>
      </c>
      <c r="C115" s="20">
        <v>43360.324594907419</v>
      </c>
      <c r="D115" t="s">
        <v>41</v>
      </c>
      <c r="E115" s="6">
        <v>5</v>
      </c>
      <c r="F115" t="s">
        <v>32</v>
      </c>
      <c r="G115" t="s">
        <v>260</v>
      </c>
      <c r="I115" t="s">
        <v>42</v>
      </c>
      <c r="AB115" t="s">
        <v>43</v>
      </c>
      <c r="AC115" s="2">
        <v>43360.616261574083</v>
      </c>
      <c r="AD115" s="2">
        <f t="shared" si="1"/>
        <v>43360.324594907419</v>
      </c>
      <c r="AE115" t="s">
        <v>35</v>
      </c>
      <c r="AF115" s="2">
        <v>43360.616261574083</v>
      </c>
      <c r="AG115" t="s">
        <v>35</v>
      </c>
    </row>
    <row r="116" spans="1:33" x14ac:dyDescent="0.25">
      <c r="A116" s="4">
        <v>8</v>
      </c>
      <c r="B116" s="3">
        <v>43360</v>
      </c>
      <c r="C116" s="20">
        <v>43360.325995370375</v>
      </c>
      <c r="D116" t="s">
        <v>41</v>
      </c>
      <c r="E116" s="6">
        <v>3</v>
      </c>
      <c r="F116" t="s">
        <v>32</v>
      </c>
      <c r="G116" t="s">
        <v>260</v>
      </c>
      <c r="I116" t="s">
        <v>42</v>
      </c>
      <c r="AB116" t="s">
        <v>49</v>
      </c>
      <c r="AC116" s="2">
        <v>43360.617662037039</v>
      </c>
      <c r="AD116" s="2">
        <f t="shared" si="1"/>
        <v>43360.325995370375</v>
      </c>
      <c r="AE116" t="s">
        <v>35</v>
      </c>
      <c r="AF116" s="2">
        <v>43360.617662037039</v>
      </c>
      <c r="AG116" t="s">
        <v>35</v>
      </c>
    </row>
    <row r="117" spans="1:33" x14ac:dyDescent="0.25">
      <c r="A117" s="4">
        <v>71</v>
      </c>
      <c r="B117" s="3">
        <v>43360</v>
      </c>
      <c r="C117" s="20">
        <v>43360.317928240744</v>
      </c>
      <c r="D117" t="s">
        <v>41</v>
      </c>
      <c r="E117" s="6">
        <v>7</v>
      </c>
      <c r="F117" t="s">
        <v>32</v>
      </c>
      <c r="G117" t="s">
        <v>259</v>
      </c>
      <c r="I117" t="s">
        <v>42</v>
      </c>
      <c r="AB117" t="s">
        <v>147</v>
      </c>
      <c r="AC117" s="2">
        <v>43360.609594907408</v>
      </c>
      <c r="AD117" s="2">
        <f t="shared" si="1"/>
        <v>43360.317928240744</v>
      </c>
      <c r="AE117" t="s">
        <v>145</v>
      </c>
      <c r="AF117" s="2">
        <v>43360.609594907408</v>
      </c>
      <c r="AG117" t="s">
        <v>145</v>
      </c>
    </row>
    <row r="118" spans="1:33" x14ac:dyDescent="0.25">
      <c r="A118" s="4">
        <v>143</v>
      </c>
      <c r="B118" s="3">
        <v>43360</v>
      </c>
      <c r="C118" s="20">
        <v>43360.375150462969</v>
      </c>
      <c r="D118" t="s">
        <v>41</v>
      </c>
      <c r="E118" s="6">
        <v>2</v>
      </c>
      <c r="F118" t="s">
        <v>32</v>
      </c>
      <c r="G118" t="s">
        <v>259</v>
      </c>
      <c r="AB118" t="s">
        <v>237</v>
      </c>
      <c r="AC118" s="2">
        <v>43360.666817129633</v>
      </c>
      <c r="AD118" s="2">
        <f t="shared" si="1"/>
        <v>43360.375150462969</v>
      </c>
      <c r="AE118" t="s">
        <v>145</v>
      </c>
      <c r="AF118" s="2">
        <v>43360.666817129633</v>
      </c>
      <c r="AG118" t="s">
        <v>145</v>
      </c>
    </row>
    <row r="119" spans="1:33" x14ac:dyDescent="0.25">
      <c r="A119" s="4">
        <v>128</v>
      </c>
      <c r="B119" s="3">
        <v>43360</v>
      </c>
      <c r="C119" s="20">
        <v>43360.360960648148</v>
      </c>
      <c r="D119" t="s">
        <v>221</v>
      </c>
      <c r="E119" s="6">
        <v>1</v>
      </c>
      <c r="F119" t="s">
        <v>32</v>
      </c>
      <c r="G119" t="s">
        <v>259</v>
      </c>
      <c r="AB119" t="s">
        <v>222</v>
      </c>
      <c r="AC119" s="2">
        <v>43360.652627314812</v>
      </c>
      <c r="AD119" s="2">
        <f t="shared" si="1"/>
        <v>43360.360960648148</v>
      </c>
      <c r="AE119" t="s">
        <v>145</v>
      </c>
      <c r="AF119" s="2">
        <v>43360.652627314812</v>
      </c>
      <c r="AG119" t="s">
        <v>145</v>
      </c>
    </row>
    <row r="120" spans="1:33" x14ac:dyDescent="0.25">
      <c r="A120" s="4">
        <v>84</v>
      </c>
      <c r="B120" s="3">
        <v>43360</v>
      </c>
      <c r="C120" s="20">
        <v>43360.329421296308</v>
      </c>
      <c r="D120" t="s">
        <v>164</v>
      </c>
      <c r="E120" s="6">
        <v>1</v>
      </c>
      <c r="F120" t="s">
        <v>32</v>
      </c>
      <c r="G120" t="s">
        <v>259</v>
      </c>
      <c r="I120" t="s">
        <v>42</v>
      </c>
      <c r="AB120" t="s">
        <v>165</v>
      </c>
      <c r="AC120" s="2">
        <v>43360.621087962973</v>
      </c>
      <c r="AD120" s="2">
        <f t="shared" si="1"/>
        <v>43360.329421296308</v>
      </c>
      <c r="AE120" t="s">
        <v>145</v>
      </c>
      <c r="AF120" s="2">
        <v>43360.621087962973</v>
      </c>
      <c r="AG120" t="s">
        <v>145</v>
      </c>
    </row>
    <row r="121" spans="1:33" x14ac:dyDescent="0.25">
      <c r="A121" s="4">
        <v>28</v>
      </c>
      <c r="B121" s="3">
        <v>43360</v>
      </c>
      <c r="C121" s="20">
        <v>43360.353310185186</v>
      </c>
      <c r="D121" t="s">
        <v>83</v>
      </c>
      <c r="E121" s="6">
        <v>10</v>
      </c>
      <c r="F121" t="s">
        <v>32</v>
      </c>
      <c r="G121" t="s">
        <v>260</v>
      </c>
      <c r="AB121" t="s">
        <v>84</v>
      </c>
      <c r="AC121" s="2">
        <v>43360.644976851851</v>
      </c>
      <c r="AD121" s="2">
        <f t="shared" si="1"/>
        <v>43360.353310185186</v>
      </c>
      <c r="AE121" t="s">
        <v>35</v>
      </c>
      <c r="AF121" s="2">
        <v>43360.654432870368</v>
      </c>
      <c r="AG121" t="s">
        <v>35</v>
      </c>
    </row>
    <row r="122" spans="1:33" x14ac:dyDescent="0.25">
      <c r="A122" s="4">
        <v>127</v>
      </c>
      <c r="B122" s="3">
        <v>43360</v>
      </c>
      <c r="C122" s="20">
        <v>43360.360370370363</v>
      </c>
      <c r="D122" t="s">
        <v>83</v>
      </c>
      <c r="E122" s="6">
        <v>5</v>
      </c>
      <c r="F122" t="s">
        <v>32</v>
      </c>
      <c r="G122" t="s">
        <v>259</v>
      </c>
      <c r="AB122" t="s">
        <v>220</v>
      </c>
      <c r="AC122" s="2">
        <v>43360.652037037027</v>
      </c>
      <c r="AD122" s="2">
        <f t="shared" si="1"/>
        <v>43360.360370370363</v>
      </c>
      <c r="AE122" t="s">
        <v>145</v>
      </c>
      <c r="AF122" s="2">
        <v>43360.652962962973</v>
      </c>
      <c r="AG122" t="s">
        <v>145</v>
      </c>
    </row>
    <row r="123" spans="1:33" x14ac:dyDescent="0.25">
      <c r="A123" s="4">
        <v>137</v>
      </c>
      <c r="B123" s="3">
        <v>43360</v>
      </c>
      <c r="C123" s="20">
        <v>43360.369432870379</v>
      </c>
      <c r="D123" t="s">
        <v>83</v>
      </c>
      <c r="E123" s="6">
        <v>7</v>
      </c>
      <c r="F123" t="s">
        <v>32</v>
      </c>
      <c r="G123" t="s">
        <v>259</v>
      </c>
      <c r="AB123" t="s">
        <v>231</v>
      </c>
      <c r="AC123" s="2">
        <v>43360.661099537043</v>
      </c>
      <c r="AD123" s="2">
        <f t="shared" si="1"/>
        <v>43360.369432870379</v>
      </c>
      <c r="AE123" t="s">
        <v>145</v>
      </c>
      <c r="AF123" s="2">
        <v>43360.661099537043</v>
      </c>
      <c r="AG123" t="s">
        <v>145</v>
      </c>
    </row>
    <row r="124" spans="1:33" x14ac:dyDescent="0.25">
      <c r="A124" s="4">
        <v>148</v>
      </c>
      <c r="B124" s="3">
        <v>43360</v>
      </c>
      <c r="C124" s="20">
        <v>43360.381458333337</v>
      </c>
      <c r="D124" t="s">
        <v>83</v>
      </c>
      <c r="E124" s="6">
        <v>15</v>
      </c>
      <c r="F124" t="s">
        <v>32</v>
      </c>
      <c r="G124" t="s">
        <v>259</v>
      </c>
      <c r="AB124" t="s">
        <v>242</v>
      </c>
      <c r="AC124" s="2">
        <v>43360.673125000001</v>
      </c>
      <c r="AD124" s="2">
        <f t="shared" si="1"/>
        <v>43360.381458333337</v>
      </c>
      <c r="AE124" t="s">
        <v>145</v>
      </c>
      <c r="AF124" s="2">
        <v>43360.673125000001</v>
      </c>
      <c r="AG124" t="s">
        <v>145</v>
      </c>
    </row>
    <row r="125" spans="1:33" x14ac:dyDescent="0.25">
      <c r="A125" s="4">
        <v>158</v>
      </c>
      <c r="B125" s="3">
        <v>43360</v>
      </c>
      <c r="C125" s="20">
        <v>43360.388530092598</v>
      </c>
      <c r="D125" t="s">
        <v>83</v>
      </c>
      <c r="E125" s="6">
        <v>1</v>
      </c>
      <c r="F125" t="s">
        <v>32</v>
      </c>
      <c r="G125" t="s">
        <v>259</v>
      </c>
      <c r="AB125" t="s">
        <v>253</v>
      </c>
      <c r="AC125" s="2">
        <v>43360.680196759262</v>
      </c>
      <c r="AD125" s="2">
        <f t="shared" si="1"/>
        <v>43360.388530092598</v>
      </c>
      <c r="AE125" t="s">
        <v>145</v>
      </c>
      <c r="AF125" s="2">
        <v>43360.680196759262</v>
      </c>
      <c r="AG125" t="s">
        <v>145</v>
      </c>
    </row>
    <row r="126" spans="1:33" x14ac:dyDescent="0.25">
      <c r="A126" s="4">
        <v>100</v>
      </c>
      <c r="B126" s="3">
        <v>43360</v>
      </c>
      <c r="C126" s="20">
        <v>43360.338356481494</v>
      </c>
      <c r="D126" t="s">
        <v>183</v>
      </c>
      <c r="E126" s="6">
        <v>4</v>
      </c>
      <c r="F126" t="s">
        <v>32</v>
      </c>
      <c r="G126" t="s">
        <v>259</v>
      </c>
      <c r="AB126" t="s">
        <v>184</v>
      </c>
      <c r="AC126" s="2">
        <v>43360.630023148158</v>
      </c>
      <c r="AD126" s="2">
        <f t="shared" si="1"/>
        <v>43360.338356481494</v>
      </c>
      <c r="AE126" t="s">
        <v>145</v>
      </c>
      <c r="AF126" s="2">
        <v>43360.630023148158</v>
      </c>
      <c r="AG126" t="s">
        <v>145</v>
      </c>
    </row>
    <row r="127" spans="1:33" x14ac:dyDescent="0.25">
      <c r="A127" s="4">
        <v>30</v>
      </c>
      <c r="B127" s="3">
        <v>43360</v>
      </c>
      <c r="C127" s="20">
        <v>43360.355578703704</v>
      </c>
      <c r="D127" t="s">
        <v>87</v>
      </c>
      <c r="E127" s="6">
        <v>2</v>
      </c>
      <c r="F127" t="s">
        <v>32</v>
      </c>
      <c r="G127" t="s">
        <v>260</v>
      </c>
      <c r="AB127" t="s">
        <v>88</v>
      </c>
      <c r="AC127" s="2">
        <v>43360.647245370368</v>
      </c>
      <c r="AD127" s="2">
        <f t="shared" si="1"/>
        <v>43360.355578703704</v>
      </c>
      <c r="AE127" t="s">
        <v>35</v>
      </c>
      <c r="AF127" s="2">
        <v>43360.647245370368</v>
      </c>
      <c r="AG127" t="s">
        <v>35</v>
      </c>
    </row>
    <row r="128" spans="1:33" x14ac:dyDescent="0.25">
      <c r="A128" s="4">
        <v>156</v>
      </c>
      <c r="B128" s="3">
        <v>43360</v>
      </c>
      <c r="C128" s="20">
        <v>43360.388287037036</v>
      </c>
      <c r="D128" t="s">
        <v>87</v>
      </c>
      <c r="E128" s="6">
        <v>2</v>
      </c>
      <c r="F128" t="s">
        <v>32</v>
      </c>
      <c r="G128" t="s">
        <v>259</v>
      </c>
      <c r="AB128" t="s">
        <v>251</v>
      </c>
      <c r="AC128" s="2">
        <v>43360.6799537037</v>
      </c>
      <c r="AD128" s="2">
        <f t="shared" si="1"/>
        <v>43360.388287037036</v>
      </c>
      <c r="AE128" t="s">
        <v>145</v>
      </c>
      <c r="AF128" s="2">
        <v>43360.6799537037</v>
      </c>
      <c r="AG128" t="s">
        <v>145</v>
      </c>
    </row>
    <row r="129" spans="1:33" x14ac:dyDescent="0.25">
      <c r="A129" s="4">
        <v>7</v>
      </c>
      <c r="B129" s="3">
        <v>43360</v>
      </c>
      <c r="C129" s="20">
        <v>43360.325104166666</v>
      </c>
      <c r="D129" t="s">
        <v>47</v>
      </c>
      <c r="E129" s="6">
        <v>1</v>
      </c>
      <c r="F129" t="s">
        <v>32</v>
      </c>
      <c r="G129" t="s">
        <v>260</v>
      </c>
      <c r="I129" t="s">
        <v>45</v>
      </c>
      <c r="AB129" t="s">
        <v>48</v>
      </c>
      <c r="AC129" s="2">
        <v>43360.616770833331</v>
      </c>
      <c r="AD129" s="2">
        <f t="shared" si="1"/>
        <v>43360.325104166666</v>
      </c>
      <c r="AE129" t="s">
        <v>35</v>
      </c>
      <c r="AF129" s="2">
        <v>43360.616770833331</v>
      </c>
      <c r="AG129" t="s">
        <v>35</v>
      </c>
    </row>
    <row r="130" spans="1:33" x14ac:dyDescent="0.25">
      <c r="A130" s="4">
        <v>72</v>
      </c>
      <c r="B130" s="3">
        <v>43360</v>
      </c>
      <c r="C130" s="20">
        <v>43360.318252314828</v>
      </c>
      <c r="D130" t="s">
        <v>47</v>
      </c>
      <c r="E130" s="6">
        <v>1</v>
      </c>
      <c r="F130" t="s">
        <v>32</v>
      </c>
      <c r="G130" t="s">
        <v>259</v>
      </c>
      <c r="I130" t="s">
        <v>148</v>
      </c>
      <c r="AB130" t="s">
        <v>149</v>
      </c>
      <c r="AC130" s="2">
        <v>43360.609918981492</v>
      </c>
      <c r="AD130" s="2">
        <f t="shared" si="1"/>
        <v>43360.318252314828</v>
      </c>
      <c r="AE130" t="s">
        <v>145</v>
      </c>
      <c r="AF130" s="2">
        <v>43360.609918981492</v>
      </c>
      <c r="AG130" t="s">
        <v>145</v>
      </c>
    </row>
    <row r="131" spans="1:33" x14ac:dyDescent="0.25">
      <c r="A131" s="4">
        <v>95</v>
      </c>
      <c r="B131" s="3">
        <v>43360</v>
      </c>
      <c r="C131" s="20">
        <v>43360.335925925923</v>
      </c>
      <c r="D131" t="s">
        <v>47</v>
      </c>
      <c r="E131" s="6">
        <v>1</v>
      </c>
      <c r="F131" t="s">
        <v>32</v>
      </c>
      <c r="G131" t="s">
        <v>259</v>
      </c>
      <c r="AB131" t="s">
        <v>178</v>
      </c>
      <c r="AC131" s="2">
        <v>43360.627592592587</v>
      </c>
      <c r="AD131" s="2">
        <f t="shared" ref="AD131:AD162" si="2">AC131-(7/24)</f>
        <v>43360.335925925923</v>
      </c>
      <c r="AE131" t="s">
        <v>145</v>
      </c>
      <c r="AF131" s="2">
        <v>43360.627592592587</v>
      </c>
      <c r="AG131" t="s">
        <v>145</v>
      </c>
    </row>
    <row r="132" spans="1:33" x14ac:dyDescent="0.25">
      <c r="A132" s="4">
        <v>101</v>
      </c>
      <c r="B132" s="3">
        <v>43360</v>
      </c>
      <c r="C132" s="20">
        <v>43360.340902777789</v>
      </c>
      <c r="D132" t="s">
        <v>47</v>
      </c>
      <c r="E132" s="6">
        <v>1</v>
      </c>
      <c r="F132" t="s">
        <v>32</v>
      </c>
      <c r="G132" t="s">
        <v>259</v>
      </c>
      <c r="AB132" t="s">
        <v>185</v>
      </c>
      <c r="AC132" s="2">
        <v>43360.632569444453</v>
      </c>
      <c r="AD132" s="2">
        <f t="shared" si="2"/>
        <v>43360.340902777789</v>
      </c>
      <c r="AE132" t="s">
        <v>145</v>
      </c>
      <c r="AF132" s="2">
        <v>43360.632569444453</v>
      </c>
      <c r="AG132" t="s">
        <v>145</v>
      </c>
    </row>
    <row r="133" spans="1:33" x14ac:dyDescent="0.25">
      <c r="A133" s="4">
        <v>109</v>
      </c>
      <c r="B133" s="3">
        <v>43360</v>
      </c>
      <c r="C133" s="20">
        <v>43360.344618055555</v>
      </c>
      <c r="D133" t="s">
        <v>47</v>
      </c>
      <c r="E133" s="6">
        <v>3</v>
      </c>
      <c r="F133" t="s">
        <v>32</v>
      </c>
      <c r="G133" t="s">
        <v>259</v>
      </c>
      <c r="AB133" t="s">
        <v>195</v>
      </c>
      <c r="AC133" s="2">
        <v>43360.636284722219</v>
      </c>
      <c r="AD133" s="2">
        <f t="shared" si="2"/>
        <v>43360.344618055555</v>
      </c>
      <c r="AE133" t="s">
        <v>145</v>
      </c>
      <c r="AF133" s="2">
        <v>43360.637314814812</v>
      </c>
      <c r="AG133" t="s">
        <v>145</v>
      </c>
    </row>
    <row r="134" spans="1:33" x14ac:dyDescent="0.25">
      <c r="A134" s="4">
        <v>113</v>
      </c>
      <c r="B134" s="3">
        <v>43360</v>
      </c>
      <c r="C134" s="20">
        <v>43360.346122685187</v>
      </c>
      <c r="D134" t="s">
        <v>47</v>
      </c>
      <c r="E134" s="6">
        <v>1</v>
      </c>
      <c r="F134" t="s">
        <v>32</v>
      </c>
      <c r="G134" t="s">
        <v>259</v>
      </c>
      <c r="AB134" t="s">
        <v>201</v>
      </c>
      <c r="AC134" s="2">
        <v>43360.637789351851</v>
      </c>
      <c r="AD134" s="2">
        <f t="shared" si="2"/>
        <v>43360.346122685187</v>
      </c>
      <c r="AE134" t="s">
        <v>145</v>
      </c>
      <c r="AF134" s="2">
        <v>43360.637789351851</v>
      </c>
      <c r="AG134" t="s">
        <v>145</v>
      </c>
    </row>
    <row r="135" spans="1:33" x14ac:dyDescent="0.25">
      <c r="A135" s="4">
        <v>1</v>
      </c>
      <c r="B135" s="3">
        <v>43360</v>
      </c>
      <c r="C135" s="20">
        <v>43360.318807870375</v>
      </c>
      <c r="D135" t="s">
        <v>31</v>
      </c>
      <c r="E135" s="6">
        <v>1</v>
      </c>
      <c r="F135" t="s">
        <v>32</v>
      </c>
      <c r="G135" t="s">
        <v>260</v>
      </c>
      <c r="I135" t="s">
        <v>33</v>
      </c>
      <c r="AB135" t="s">
        <v>34</v>
      </c>
      <c r="AC135" s="2">
        <v>43360.610474537039</v>
      </c>
      <c r="AD135" s="2">
        <f t="shared" si="2"/>
        <v>43360.318807870375</v>
      </c>
      <c r="AE135" t="s">
        <v>35</v>
      </c>
      <c r="AF135" s="2">
        <v>43360.610474537039</v>
      </c>
      <c r="AG135" t="s">
        <v>35</v>
      </c>
    </row>
    <row r="136" spans="1:33" x14ac:dyDescent="0.25">
      <c r="A136" s="4">
        <v>22</v>
      </c>
      <c r="B136" s="3">
        <v>43360</v>
      </c>
      <c r="C136" s="20">
        <v>43360.344456018523</v>
      </c>
      <c r="D136" t="s">
        <v>31</v>
      </c>
      <c r="E136" s="6">
        <v>2</v>
      </c>
      <c r="F136" t="s">
        <v>32</v>
      </c>
      <c r="G136" t="s">
        <v>260</v>
      </c>
      <c r="I136" t="s">
        <v>33</v>
      </c>
      <c r="AB136" t="s">
        <v>73</v>
      </c>
      <c r="AC136" s="2">
        <v>43360.636122685188</v>
      </c>
      <c r="AD136" s="2">
        <f t="shared" si="2"/>
        <v>43360.344456018523</v>
      </c>
      <c r="AE136" t="s">
        <v>35</v>
      </c>
      <c r="AF136" s="2">
        <v>43360.636122685188</v>
      </c>
      <c r="AG136" t="s">
        <v>35</v>
      </c>
    </row>
    <row r="137" spans="1:33" x14ac:dyDescent="0.25">
      <c r="A137" s="4">
        <v>35</v>
      </c>
      <c r="B137" s="3">
        <v>43360</v>
      </c>
      <c r="C137" s="20">
        <v>43360.366446759253</v>
      </c>
      <c r="D137" t="s">
        <v>31</v>
      </c>
      <c r="E137" s="6">
        <v>1</v>
      </c>
      <c r="F137" t="s">
        <v>32</v>
      </c>
      <c r="G137" t="s">
        <v>260</v>
      </c>
      <c r="AB137" t="s">
        <v>96</v>
      </c>
      <c r="AC137" s="2">
        <v>43360.658113425918</v>
      </c>
      <c r="AD137" s="2">
        <f t="shared" si="2"/>
        <v>43360.366446759253</v>
      </c>
      <c r="AE137" t="s">
        <v>35</v>
      </c>
      <c r="AF137" s="2">
        <v>43360.658113425918</v>
      </c>
      <c r="AG137" t="s">
        <v>35</v>
      </c>
    </row>
    <row r="138" spans="1:33" x14ac:dyDescent="0.25">
      <c r="A138" s="4">
        <v>90</v>
      </c>
      <c r="B138" s="3">
        <v>43360</v>
      </c>
      <c r="C138" s="20">
        <v>43360.332245370373</v>
      </c>
      <c r="D138" t="s">
        <v>31</v>
      </c>
      <c r="E138" s="6">
        <v>1</v>
      </c>
      <c r="F138" t="s">
        <v>32</v>
      </c>
      <c r="G138" t="s">
        <v>259</v>
      </c>
      <c r="AB138" t="s">
        <v>172</v>
      </c>
      <c r="AC138" s="2">
        <v>43360.623912037037</v>
      </c>
      <c r="AD138" s="2">
        <f t="shared" si="2"/>
        <v>43360.332245370373</v>
      </c>
      <c r="AE138" t="s">
        <v>145</v>
      </c>
      <c r="AF138" s="2">
        <v>43360.623912037037</v>
      </c>
      <c r="AG138" t="s">
        <v>145</v>
      </c>
    </row>
    <row r="139" spans="1:33" x14ac:dyDescent="0.25">
      <c r="A139" s="4">
        <v>96</v>
      </c>
      <c r="B139" s="3">
        <v>43360</v>
      </c>
      <c r="C139" s="20">
        <v>43360.336909722224</v>
      </c>
      <c r="D139" t="s">
        <v>31</v>
      </c>
      <c r="E139" s="6">
        <v>1</v>
      </c>
      <c r="F139" t="s">
        <v>32</v>
      </c>
      <c r="G139" t="s">
        <v>259</v>
      </c>
      <c r="AB139" t="s">
        <v>179</v>
      </c>
      <c r="AC139" s="2">
        <v>43360.628576388888</v>
      </c>
      <c r="AD139" s="2">
        <f t="shared" si="2"/>
        <v>43360.336909722224</v>
      </c>
      <c r="AE139" t="s">
        <v>145</v>
      </c>
      <c r="AF139" s="2">
        <v>43360.628576388888</v>
      </c>
      <c r="AG139" t="s">
        <v>145</v>
      </c>
    </row>
    <row r="140" spans="1:33" x14ac:dyDescent="0.25">
      <c r="A140" s="4">
        <v>108</v>
      </c>
      <c r="B140" s="3">
        <v>43360</v>
      </c>
      <c r="C140" s="20">
        <v>43360.343761574077</v>
      </c>
      <c r="D140" t="s">
        <v>31</v>
      </c>
      <c r="E140" s="6">
        <v>2</v>
      </c>
      <c r="F140" t="s">
        <v>32</v>
      </c>
      <c r="G140" t="s">
        <v>259</v>
      </c>
      <c r="AB140" t="s">
        <v>194</v>
      </c>
      <c r="AC140" s="2">
        <v>43360.635428240741</v>
      </c>
      <c r="AD140" s="2">
        <f t="shared" si="2"/>
        <v>43360.343761574077</v>
      </c>
      <c r="AE140" t="s">
        <v>145</v>
      </c>
      <c r="AF140" s="2">
        <v>43360.635428240741</v>
      </c>
      <c r="AG140" t="s">
        <v>145</v>
      </c>
    </row>
    <row r="141" spans="1:33" x14ac:dyDescent="0.25">
      <c r="A141" s="4">
        <v>119</v>
      </c>
      <c r="B141" s="3">
        <v>43360</v>
      </c>
      <c r="C141" s="20">
        <v>43360.355046296296</v>
      </c>
      <c r="D141" t="s">
        <v>31</v>
      </c>
      <c r="E141" s="6">
        <v>1</v>
      </c>
      <c r="F141" t="s">
        <v>32</v>
      </c>
      <c r="G141" t="s">
        <v>259</v>
      </c>
      <c r="AB141" t="s">
        <v>210</v>
      </c>
      <c r="AC141" s="2">
        <v>43360.64671296296</v>
      </c>
      <c r="AD141" s="2">
        <f t="shared" si="2"/>
        <v>43360.355046296296</v>
      </c>
      <c r="AE141" t="s">
        <v>145</v>
      </c>
      <c r="AF141" s="2">
        <v>43360.64671296296</v>
      </c>
      <c r="AG141" t="s">
        <v>145</v>
      </c>
    </row>
    <row r="142" spans="1:33" x14ac:dyDescent="0.25">
      <c r="A142" s="4">
        <v>140</v>
      </c>
      <c r="B142" s="3">
        <v>43360</v>
      </c>
      <c r="C142" s="20">
        <v>43360.372986111113</v>
      </c>
      <c r="D142" t="s">
        <v>31</v>
      </c>
      <c r="E142" s="6">
        <v>1</v>
      </c>
      <c r="F142" t="s">
        <v>32</v>
      </c>
      <c r="G142" t="s">
        <v>259</v>
      </c>
      <c r="AB142" t="s">
        <v>234</v>
      </c>
      <c r="AC142" s="2">
        <v>43360.664652777778</v>
      </c>
      <c r="AD142" s="2">
        <f t="shared" si="2"/>
        <v>43360.372986111113</v>
      </c>
      <c r="AE142" t="s">
        <v>145</v>
      </c>
      <c r="AF142" s="2">
        <v>43360.664652777778</v>
      </c>
      <c r="AG142" t="s">
        <v>145</v>
      </c>
    </row>
    <row r="143" spans="1:33" x14ac:dyDescent="0.25">
      <c r="A143" s="4">
        <v>145</v>
      </c>
      <c r="B143" s="3">
        <v>43360</v>
      </c>
      <c r="C143" s="20">
        <v>43360.377708333333</v>
      </c>
      <c r="D143" t="s">
        <v>31</v>
      </c>
      <c r="E143" s="6">
        <v>1</v>
      </c>
      <c r="F143" t="s">
        <v>32</v>
      </c>
      <c r="G143" t="s">
        <v>259</v>
      </c>
      <c r="AB143" t="s">
        <v>239</v>
      </c>
      <c r="AC143" s="2">
        <v>43360.669374999998</v>
      </c>
      <c r="AD143" s="2">
        <f t="shared" si="2"/>
        <v>43360.377708333333</v>
      </c>
      <c r="AE143" t="s">
        <v>145</v>
      </c>
      <c r="AF143" s="2">
        <v>43360.669374999998</v>
      </c>
      <c r="AG143" t="s">
        <v>145</v>
      </c>
    </row>
    <row r="144" spans="1:33" x14ac:dyDescent="0.25">
      <c r="A144" s="4">
        <v>152</v>
      </c>
      <c r="B144" s="3">
        <v>43360</v>
      </c>
      <c r="C144" s="20">
        <v>43360.384965277779</v>
      </c>
      <c r="D144" t="s">
        <v>31</v>
      </c>
      <c r="E144" s="6">
        <v>1</v>
      </c>
      <c r="F144" t="s">
        <v>32</v>
      </c>
      <c r="G144" t="s">
        <v>259</v>
      </c>
      <c r="AB144" t="s">
        <v>247</v>
      </c>
      <c r="AC144" s="2">
        <v>43360.676631944443</v>
      </c>
      <c r="AD144" s="2">
        <f t="shared" si="2"/>
        <v>43360.384965277779</v>
      </c>
      <c r="AE144" t="s">
        <v>145</v>
      </c>
      <c r="AF144" s="2">
        <v>43360.676631944443</v>
      </c>
      <c r="AG144" t="s">
        <v>145</v>
      </c>
    </row>
    <row r="145" spans="1:33" x14ac:dyDescent="0.25">
      <c r="A145" s="4">
        <v>159</v>
      </c>
      <c r="B145" s="3">
        <v>43360</v>
      </c>
      <c r="C145" s="20">
        <v>43360.389861111114</v>
      </c>
      <c r="D145" t="s">
        <v>31</v>
      </c>
      <c r="E145" s="6">
        <v>2</v>
      </c>
      <c r="F145" t="s">
        <v>32</v>
      </c>
      <c r="G145" t="s">
        <v>259</v>
      </c>
      <c r="AB145" t="s">
        <v>254</v>
      </c>
      <c r="AC145" s="2">
        <v>43360.681527777779</v>
      </c>
      <c r="AD145" s="2">
        <f t="shared" si="2"/>
        <v>43360.389861111114</v>
      </c>
      <c r="AE145" t="s">
        <v>145</v>
      </c>
      <c r="AF145" s="2">
        <v>43360.681527777779</v>
      </c>
      <c r="AG145" t="s">
        <v>145</v>
      </c>
    </row>
    <row r="146" spans="1:33" x14ac:dyDescent="0.25">
      <c r="A146" s="4">
        <v>118</v>
      </c>
      <c r="B146" s="3">
        <v>43360</v>
      </c>
      <c r="C146" s="20">
        <v>43360.354849537049</v>
      </c>
      <c r="D146" t="s">
        <v>258</v>
      </c>
      <c r="E146" s="6">
        <v>1</v>
      </c>
      <c r="F146" t="s">
        <v>32</v>
      </c>
      <c r="G146" t="s">
        <v>259</v>
      </c>
      <c r="H146" t="s">
        <v>208</v>
      </c>
      <c r="AB146" t="s">
        <v>209</v>
      </c>
      <c r="AC146" s="2">
        <v>43360.646516203713</v>
      </c>
      <c r="AD146" s="2">
        <f t="shared" si="2"/>
        <v>43360.354849537049</v>
      </c>
      <c r="AE146" t="s">
        <v>145</v>
      </c>
      <c r="AF146" s="2">
        <v>43360.646516203713</v>
      </c>
      <c r="AG146" t="s">
        <v>145</v>
      </c>
    </row>
    <row r="147" spans="1:33" x14ac:dyDescent="0.25">
      <c r="A147" s="4">
        <v>29</v>
      </c>
      <c r="B147" s="3">
        <v>43360</v>
      </c>
      <c r="C147" s="20">
        <v>43360.353506944448</v>
      </c>
      <c r="D147" t="s">
        <v>85</v>
      </c>
      <c r="E147" s="6">
        <v>2</v>
      </c>
      <c r="F147" t="s">
        <v>32</v>
      </c>
      <c r="G147" t="s">
        <v>260</v>
      </c>
      <c r="AB147" t="s">
        <v>86</v>
      </c>
      <c r="AC147" s="2">
        <v>43360.645173611112</v>
      </c>
      <c r="AD147" s="2">
        <f t="shared" si="2"/>
        <v>43360.353506944448</v>
      </c>
      <c r="AE147" t="s">
        <v>35</v>
      </c>
      <c r="AF147" s="2">
        <v>43360.645173611112</v>
      </c>
      <c r="AG147" t="s">
        <v>35</v>
      </c>
    </row>
    <row r="148" spans="1:33" x14ac:dyDescent="0.25">
      <c r="A148" s="4">
        <v>48</v>
      </c>
      <c r="B148" s="3">
        <v>43360</v>
      </c>
      <c r="C148" s="20">
        <v>43360.378645833334</v>
      </c>
      <c r="D148" t="s">
        <v>85</v>
      </c>
      <c r="E148" s="6">
        <v>1</v>
      </c>
      <c r="F148" t="s">
        <v>32</v>
      </c>
      <c r="G148" t="s">
        <v>260</v>
      </c>
      <c r="I148" t="s">
        <v>51</v>
      </c>
      <c r="AB148" t="s">
        <v>117</v>
      </c>
      <c r="AC148" s="2">
        <v>43360.670312499999</v>
      </c>
      <c r="AD148" s="2">
        <f t="shared" si="2"/>
        <v>43360.378645833334</v>
      </c>
      <c r="AE148" t="s">
        <v>35</v>
      </c>
      <c r="AF148" s="2">
        <v>43360.670312499999</v>
      </c>
      <c r="AG148" t="s">
        <v>35</v>
      </c>
    </row>
    <row r="149" spans="1:33" x14ac:dyDescent="0.25">
      <c r="A149" s="4">
        <v>81</v>
      </c>
      <c r="B149" s="3">
        <v>43360</v>
      </c>
      <c r="C149" s="20">
        <v>43360.325925925928</v>
      </c>
      <c r="D149" t="s">
        <v>85</v>
      </c>
      <c r="E149" s="6">
        <v>1</v>
      </c>
      <c r="F149" t="s">
        <v>32</v>
      </c>
      <c r="G149" t="s">
        <v>259</v>
      </c>
      <c r="I149" t="s">
        <v>51</v>
      </c>
      <c r="AB149" t="s">
        <v>160</v>
      </c>
      <c r="AC149" s="2">
        <v>43360.617592592593</v>
      </c>
      <c r="AD149" s="2">
        <f t="shared" si="2"/>
        <v>43360.325925925928</v>
      </c>
      <c r="AE149" t="s">
        <v>145</v>
      </c>
      <c r="AF149" s="2">
        <v>43360.617592592593</v>
      </c>
      <c r="AG149" t="s">
        <v>145</v>
      </c>
    </row>
    <row r="150" spans="1:33" x14ac:dyDescent="0.25">
      <c r="A150" s="4">
        <v>87</v>
      </c>
      <c r="B150" s="3">
        <v>43360</v>
      </c>
      <c r="C150" s="20">
        <v>43360.330092592594</v>
      </c>
      <c r="D150" t="s">
        <v>85</v>
      </c>
      <c r="E150" s="6">
        <v>1</v>
      </c>
      <c r="F150" t="s">
        <v>32</v>
      </c>
      <c r="G150" t="s">
        <v>259</v>
      </c>
      <c r="I150" t="s">
        <v>51</v>
      </c>
      <c r="AB150" t="s">
        <v>169</v>
      </c>
      <c r="AC150" s="2">
        <v>43360.621759259258</v>
      </c>
      <c r="AD150" s="2">
        <f t="shared" si="2"/>
        <v>43360.330092592594</v>
      </c>
      <c r="AE150" t="s">
        <v>145</v>
      </c>
      <c r="AF150" s="2">
        <v>43360.621759259258</v>
      </c>
      <c r="AG150" t="s">
        <v>145</v>
      </c>
    </row>
    <row r="151" spans="1:33" x14ac:dyDescent="0.25">
      <c r="A151" s="4">
        <v>106</v>
      </c>
      <c r="B151" s="3">
        <v>43360</v>
      </c>
      <c r="C151" s="20">
        <v>43360.342881944445</v>
      </c>
      <c r="D151" t="s">
        <v>85</v>
      </c>
      <c r="E151" s="6">
        <v>1</v>
      </c>
      <c r="F151" t="s">
        <v>32</v>
      </c>
      <c r="G151" t="s">
        <v>259</v>
      </c>
      <c r="AB151" t="s">
        <v>192</v>
      </c>
      <c r="AC151" s="2">
        <v>43360.634548611109</v>
      </c>
      <c r="AD151" s="2">
        <f t="shared" si="2"/>
        <v>43360.342881944445</v>
      </c>
      <c r="AE151" t="s">
        <v>145</v>
      </c>
      <c r="AF151" s="2">
        <v>43360.634548611109</v>
      </c>
      <c r="AG151" t="s">
        <v>145</v>
      </c>
    </row>
    <row r="152" spans="1:33" s="24" customFormat="1" x14ac:dyDescent="0.25">
      <c r="A152" s="21">
        <v>136</v>
      </c>
      <c r="B152" s="22">
        <v>43360</v>
      </c>
      <c r="C152" s="23">
        <v>43360.369270833333</v>
      </c>
      <c r="D152" s="24" t="s">
        <v>85</v>
      </c>
      <c r="E152" s="11"/>
      <c r="F152" s="24" t="s">
        <v>32</v>
      </c>
      <c r="G152" s="24" t="s">
        <v>259</v>
      </c>
      <c r="AB152" s="24" t="s">
        <v>230</v>
      </c>
      <c r="AC152" s="25">
        <v>43360.660937499997</v>
      </c>
      <c r="AD152" s="25">
        <f t="shared" si="2"/>
        <v>43360.369270833333</v>
      </c>
      <c r="AE152" s="24" t="s">
        <v>145</v>
      </c>
      <c r="AF152" s="25">
        <v>43360.660937499997</v>
      </c>
      <c r="AG152" s="24" t="s">
        <v>145</v>
      </c>
    </row>
    <row r="153" spans="1:33" x14ac:dyDescent="0.25">
      <c r="A153" s="4">
        <v>27</v>
      </c>
      <c r="B153" s="3">
        <v>43360</v>
      </c>
      <c r="C153" s="20">
        <v>43360.352858796308</v>
      </c>
      <c r="D153" t="s">
        <v>81</v>
      </c>
      <c r="E153" s="6">
        <v>30</v>
      </c>
      <c r="F153" t="s">
        <v>32</v>
      </c>
      <c r="G153" t="s">
        <v>260</v>
      </c>
      <c r="AB153" t="s">
        <v>82</v>
      </c>
      <c r="AC153" s="2">
        <v>43360.644525462973</v>
      </c>
      <c r="AD153" s="2">
        <f t="shared" si="2"/>
        <v>43360.352858796308</v>
      </c>
      <c r="AE153" t="s">
        <v>35</v>
      </c>
      <c r="AF153" s="2">
        <v>43360.644525462973</v>
      </c>
      <c r="AG153" t="s">
        <v>35</v>
      </c>
    </row>
    <row r="154" spans="1:33" x14ac:dyDescent="0.25">
      <c r="A154" s="4">
        <v>149</v>
      </c>
      <c r="B154" s="3">
        <v>43360</v>
      </c>
      <c r="C154" s="20">
        <v>43360.381631944445</v>
      </c>
      <c r="D154" t="s">
        <v>81</v>
      </c>
      <c r="E154" s="6">
        <v>4</v>
      </c>
      <c r="F154" t="s">
        <v>32</v>
      </c>
      <c r="G154" t="s">
        <v>259</v>
      </c>
      <c r="AB154" t="s">
        <v>243</v>
      </c>
      <c r="AC154" s="2">
        <v>43360.673298611109</v>
      </c>
      <c r="AD154" s="2">
        <f t="shared" si="2"/>
        <v>43360.381631944445</v>
      </c>
      <c r="AE154" t="s">
        <v>145</v>
      </c>
      <c r="AF154" s="2">
        <v>43360.673298611109</v>
      </c>
      <c r="AG154" t="s">
        <v>145</v>
      </c>
    </row>
    <row r="155" spans="1:33" x14ac:dyDescent="0.25">
      <c r="A155" s="4">
        <v>157</v>
      </c>
      <c r="B155" s="3">
        <v>43360</v>
      </c>
      <c r="C155" s="20">
        <v>43360.388425925928</v>
      </c>
      <c r="D155" t="s">
        <v>81</v>
      </c>
      <c r="E155" s="6">
        <v>1</v>
      </c>
      <c r="F155" t="s">
        <v>32</v>
      </c>
      <c r="G155" t="s">
        <v>259</v>
      </c>
      <c r="AB155" t="s">
        <v>252</v>
      </c>
      <c r="AC155" s="2">
        <v>43360.680092592593</v>
      </c>
      <c r="AD155" s="2">
        <f t="shared" si="2"/>
        <v>43360.388425925928</v>
      </c>
      <c r="AE155" t="s">
        <v>145</v>
      </c>
      <c r="AF155" s="2">
        <v>43360.680092592593</v>
      </c>
      <c r="AG155" t="s">
        <v>145</v>
      </c>
    </row>
    <row r="156" spans="1:33" x14ac:dyDescent="0.25">
      <c r="A156" s="4">
        <v>24</v>
      </c>
      <c r="B156" s="3">
        <v>43360</v>
      </c>
      <c r="C156" s="20">
        <v>43360.345000000008</v>
      </c>
      <c r="D156" t="s">
        <v>75</v>
      </c>
      <c r="E156" s="6">
        <v>1</v>
      </c>
      <c r="F156" t="s">
        <v>32</v>
      </c>
      <c r="G156" t="s">
        <v>260</v>
      </c>
      <c r="I156" t="s">
        <v>51</v>
      </c>
      <c r="AB156" t="s">
        <v>76</v>
      </c>
      <c r="AC156" s="2">
        <v>43360.636666666673</v>
      </c>
      <c r="AD156" s="2">
        <f t="shared" si="2"/>
        <v>43360.345000000008</v>
      </c>
      <c r="AE156" t="s">
        <v>35</v>
      </c>
      <c r="AF156" s="2">
        <v>43360.636666666673</v>
      </c>
      <c r="AG156" t="s">
        <v>35</v>
      </c>
    </row>
    <row r="157" spans="1:33" x14ac:dyDescent="0.25">
      <c r="A157" s="4">
        <v>67</v>
      </c>
      <c r="B157" s="3">
        <v>43360</v>
      </c>
      <c r="C157" s="20">
        <v>43360.406412037039</v>
      </c>
      <c r="D157" t="s">
        <v>75</v>
      </c>
      <c r="E157" s="6">
        <v>2</v>
      </c>
      <c r="F157" t="s">
        <v>32</v>
      </c>
      <c r="G157" t="s">
        <v>260</v>
      </c>
      <c r="AB157" t="s">
        <v>140</v>
      </c>
      <c r="AC157" s="2">
        <v>43360.698078703703</v>
      </c>
      <c r="AD157" s="2">
        <f t="shared" si="2"/>
        <v>43360.406412037039</v>
      </c>
      <c r="AE157" t="s">
        <v>35</v>
      </c>
      <c r="AF157" s="2">
        <v>43360.698078703703</v>
      </c>
      <c r="AG157" t="s">
        <v>35</v>
      </c>
    </row>
    <row r="158" spans="1:33" x14ac:dyDescent="0.25">
      <c r="A158" s="4">
        <v>117</v>
      </c>
      <c r="B158" s="3">
        <v>43360</v>
      </c>
      <c r="C158" s="20">
        <v>43360.352523148147</v>
      </c>
      <c r="D158" t="s">
        <v>206</v>
      </c>
      <c r="E158" s="6">
        <v>1</v>
      </c>
      <c r="F158" t="s">
        <v>32</v>
      </c>
      <c r="G158" t="s">
        <v>259</v>
      </c>
      <c r="AB158" t="s">
        <v>207</v>
      </c>
      <c r="AC158" s="2">
        <v>43360.644189814811</v>
      </c>
      <c r="AD158" s="2">
        <f t="shared" si="2"/>
        <v>43360.352523148147</v>
      </c>
      <c r="AE158" t="s">
        <v>145</v>
      </c>
      <c r="AF158" s="2">
        <v>43360.68986111111</v>
      </c>
      <c r="AG158" t="s">
        <v>145</v>
      </c>
    </row>
    <row r="159" spans="1:33" x14ac:dyDescent="0.25">
      <c r="A159" s="4">
        <v>26</v>
      </c>
      <c r="B159" s="3">
        <v>43360</v>
      </c>
      <c r="C159" s="20">
        <v>43360.352407407408</v>
      </c>
      <c r="D159" t="s">
        <v>79</v>
      </c>
      <c r="E159" s="6">
        <v>2</v>
      </c>
      <c r="F159" t="s">
        <v>32</v>
      </c>
      <c r="G159" t="s">
        <v>260</v>
      </c>
      <c r="AB159" t="s">
        <v>80</v>
      </c>
      <c r="AC159" s="2">
        <v>43360.644074074073</v>
      </c>
      <c r="AD159" s="2">
        <f t="shared" si="2"/>
        <v>43360.352407407408</v>
      </c>
      <c r="AE159" t="s">
        <v>35</v>
      </c>
      <c r="AF159" s="2">
        <v>43360.647361111121</v>
      </c>
      <c r="AG159" t="s">
        <v>35</v>
      </c>
    </row>
    <row r="160" spans="1:33" x14ac:dyDescent="0.25">
      <c r="A160" s="4">
        <v>126</v>
      </c>
      <c r="B160" s="3">
        <v>43360</v>
      </c>
      <c r="C160" s="20">
        <v>43360.359930555554</v>
      </c>
      <c r="D160" t="s">
        <v>218</v>
      </c>
      <c r="E160" s="6">
        <v>1</v>
      </c>
      <c r="F160" t="s">
        <v>32</v>
      </c>
      <c r="G160" t="s">
        <v>259</v>
      </c>
      <c r="AB160" t="s">
        <v>219</v>
      </c>
      <c r="AC160" s="2">
        <v>43360.651597222219</v>
      </c>
      <c r="AD160" s="2">
        <f t="shared" si="2"/>
        <v>43360.359930555554</v>
      </c>
      <c r="AE160" t="s">
        <v>145</v>
      </c>
      <c r="AF160" s="2">
        <v>43360.651597222219</v>
      </c>
      <c r="AG160" t="s">
        <v>145</v>
      </c>
    </row>
    <row r="161" spans="1:33" x14ac:dyDescent="0.25">
      <c r="A161" s="4">
        <v>134</v>
      </c>
      <c r="B161" s="3">
        <v>43360</v>
      </c>
      <c r="C161" s="20">
        <v>43360.368819444448</v>
      </c>
      <c r="D161" t="s">
        <v>218</v>
      </c>
      <c r="E161" s="6">
        <v>1</v>
      </c>
      <c r="F161" t="s">
        <v>32</v>
      </c>
      <c r="G161" t="s">
        <v>259</v>
      </c>
      <c r="AB161" t="s">
        <v>228</v>
      </c>
      <c r="AC161" s="2">
        <v>43360.660486111112</v>
      </c>
      <c r="AD161" s="2">
        <f t="shared" si="2"/>
        <v>43360.368819444448</v>
      </c>
      <c r="AE161" t="s">
        <v>145</v>
      </c>
      <c r="AF161" s="2">
        <v>43360.660486111112</v>
      </c>
      <c r="AG161" t="s">
        <v>145</v>
      </c>
    </row>
    <row r="162" spans="1:33" x14ac:dyDescent="0.25">
      <c r="A162" s="4">
        <v>116</v>
      </c>
      <c r="B162" s="3">
        <v>43360</v>
      </c>
      <c r="C162" s="20">
        <v>43360.350393518529</v>
      </c>
      <c r="D162" t="s">
        <v>204</v>
      </c>
      <c r="E162" s="6">
        <v>2</v>
      </c>
      <c r="F162" t="s">
        <v>32</v>
      </c>
      <c r="G162" t="s">
        <v>259</v>
      </c>
      <c r="AB162" t="s">
        <v>205</v>
      </c>
      <c r="AC162" s="2">
        <v>43360.642060185193</v>
      </c>
      <c r="AD162" s="2">
        <f t="shared" si="2"/>
        <v>43360.350393518529</v>
      </c>
      <c r="AE162" t="s">
        <v>145</v>
      </c>
      <c r="AF162" s="2">
        <v>43360.642060185193</v>
      </c>
      <c r="AG162" t="s">
        <v>145</v>
      </c>
    </row>
  </sheetData>
  <autoFilter ref="A1:AG162"/>
  <sortState ref="A2:AF162">
    <sortCondition ref="D2:D16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opLeftCell="A22" workbookViewId="0">
      <selection activeCell="J48" sqref="J48"/>
    </sheetView>
  </sheetViews>
  <sheetFormatPr defaultRowHeight="15" x14ac:dyDescent="0.25"/>
  <cols>
    <col min="1" max="1" width="26.28515625" bestFit="1" customWidth="1"/>
    <col min="2" max="2" width="24.5703125" style="6" bestFit="1" customWidth="1"/>
    <col min="3" max="3" width="31.7109375" style="6" bestFit="1" customWidth="1"/>
    <col min="4" max="4" width="8.42578125" style="6" bestFit="1" customWidth="1"/>
    <col min="5" max="5" width="24.5703125" style="6" bestFit="1" customWidth="1"/>
    <col min="6" max="6" width="31.7109375" style="6" bestFit="1" customWidth="1"/>
    <col min="7" max="7" width="9" style="6" bestFit="1" customWidth="1"/>
    <col min="8" max="8" width="11.28515625" hidden="1" customWidth="1"/>
  </cols>
  <sheetData>
    <row r="1" spans="1:8" x14ac:dyDescent="0.25">
      <c r="D1" s="19" t="s">
        <v>268</v>
      </c>
    </row>
    <row r="2" spans="1:8" x14ac:dyDescent="0.25">
      <c r="D2" s="19"/>
      <c r="E2" s="18" t="s">
        <v>267</v>
      </c>
      <c r="F2" s="18"/>
      <c r="G2" s="18"/>
    </row>
    <row r="3" spans="1:8" x14ac:dyDescent="0.25">
      <c r="A3" s="7" t="s">
        <v>263</v>
      </c>
      <c r="B3" s="9" t="s">
        <v>264</v>
      </c>
      <c r="D3" s="13"/>
      <c r="E3" s="11"/>
      <c r="F3" s="11"/>
      <c r="G3" s="11"/>
    </row>
    <row r="4" spans="1:8" x14ac:dyDescent="0.25">
      <c r="B4" s="6" t="s">
        <v>32</v>
      </c>
      <c r="D4" s="13" t="s">
        <v>265</v>
      </c>
      <c r="E4" s="11" t="s">
        <v>127</v>
      </c>
      <c r="F4" s="11"/>
      <c r="G4" s="11" t="s">
        <v>266</v>
      </c>
      <c r="H4" t="s">
        <v>262</v>
      </c>
    </row>
    <row r="5" spans="1:8" x14ac:dyDescent="0.25">
      <c r="A5" s="7" t="s">
        <v>261</v>
      </c>
      <c r="B5" s="6" t="s">
        <v>259</v>
      </c>
      <c r="C5" s="6" t="s">
        <v>260</v>
      </c>
      <c r="D5" s="13"/>
      <c r="E5" s="11" t="s">
        <v>259</v>
      </c>
      <c r="F5" s="11" t="s">
        <v>260</v>
      </c>
      <c r="G5" s="11"/>
    </row>
    <row r="6" spans="1:8" x14ac:dyDescent="0.25">
      <c r="A6" s="4" t="s">
        <v>161</v>
      </c>
      <c r="B6" s="10">
        <v>2</v>
      </c>
      <c r="C6" s="10"/>
      <c r="D6" s="14">
        <v>2</v>
      </c>
      <c r="E6" s="12"/>
      <c r="F6" s="12"/>
      <c r="G6" s="12"/>
      <c r="H6" s="8">
        <v>2</v>
      </c>
    </row>
    <row r="7" spans="1:8" x14ac:dyDescent="0.25">
      <c r="A7" s="4" t="s">
        <v>111</v>
      </c>
      <c r="B7" s="10">
        <v>3</v>
      </c>
      <c r="C7" s="10">
        <v>11</v>
      </c>
      <c r="D7" s="14">
        <v>14</v>
      </c>
      <c r="E7" s="12"/>
      <c r="F7" s="12"/>
      <c r="G7" s="12"/>
      <c r="H7" s="8">
        <v>14</v>
      </c>
    </row>
    <row r="8" spans="1:8" x14ac:dyDescent="0.25">
      <c r="A8" s="4" t="s">
        <v>50</v>
      </c>
      <c r="B8" s="10">
        <v>2</v>
      </c>
      <c r="C8" s="10">
        <v>6</v>
      </c>
      <c r="D8" s="14">
        <v>8</v>
      </c>
      <c r="E8" s="12"/>
      <c r="F8" s="12"/>
      <c r="G8" s="12"/>
      <c r="H8" s="8">
        <v>8</v>
      </c>
    </row>
    <row r="9" spans="1:8" x14ac:dyDescent="0.25">
      <c r="A9" s="4" t="s">
        <v>213</v>
      </c>
      <c r="B9" s="10">
        <v>2</v>
      </c>
      <c r="C9" s="10"/>
      <c r="D9" s="14">
        <v>2</v>
      </c>
      <c r="E9" s="12"/>
      <c r="F9" s="12"/>
      <c r="G9" s="12"/>
      <c r="H9" s="8">
        <v>2</v>
      </c>
    </row>
    <row r="10" spans="1:8" x14ac:dyDescent="0.25">
      <c r="A10" s="4" t="s">
        <v>99</v>
      </c>
      <c r="B10" s="10">
        <v>2</v>
      </c>
      <c r="C10" s="10">
        <v>1</v>
      </c>
      <c r="D10" s="14">
        <v>3</v>
      </c>
      <c r="E10" s="12"/>
      <c r="F10" s="12">
        <v>2</v>
      </c>
      <c r="G10" s="12">
        <v>2</v>
      </c>
      <c r="H10" s="8">
        <v>5</v>
      </c>
    </row>
    <row r="11" spans="1:8" x14ac:dyDescent="0.25">
      <c r="A11" s="4" t="s">
        <v>102</v>
      </c>
      <c r="B11" s="10">
        <v>2</v>
      </c>
      <c r="C11" s="10">
        <v>1</v>
      </c>
      <c r="D11" s="14">
        <v>3</v>
      </c>
      <c r="E11" s="12"/>
      <c r="F11" s="12"/>
      <c r="G11" s="12"/>
      <c r="H11" s="8">
        <v>3</v>
      </c>
    </row>
    <row r="12" spans="1:8" x14ac:dyDescent="0.25">
      <c r="A12" s="4" t="s">
        <v>93</v>
      </c>
      <c r="B12" s="10">
        <v>6</v>
      </c>
      <c r="C12" s="10">
        <v>7</v>
      </c>
      <c r="D12" s="14">
        <v>13</v>
      </c>
      <c r="E12" s="12"/>
      <c r="F12" s="12"/>
      <c r="G12" s="12"/>
      <c r="H12" s="8">
        <v>13</v>
      </c>
    </row>
    <row r="13" spans="1:8" x14ac:dyDescent="0.25">
      <c r="A13" s="4" t="s">
        <v>89</v>
      </c>
      <c r="B13" s="10">
        <v>7</v>
      </c>
      <c r="C13" s="10"/>
      <c r="D13" s="14">
        <v>7</v>
      </c>
      <c r="E13" s="12"/>
      <c r="F13" s="12"/>
      <c r="G13" s="12"/>
      <c r="H13" s="8">
        <v>7</v>
      </c>
    </row>
    <row r="14" spans="1:8" x14ac:dyDescent="0.25">
      <c r="A14" s="4" t="s">
        <v>91</v>
      </c>
      <c r="B14" s="10">
        <v>6</v>
      </c>
      <c r="C14" s="10">
        <v>2</v>
      </c>
      <c r="D14" s="14">
        <v>8</v>
      </c>
      <c r="E14" s="12"/>
      <c r="F14" s="12"/>
      <c r="G14" s="12"/>
      <c r="H14" s="8">
        <v>8</v>
      </c>
    </row>
    <row r="15" spans="1:8" x14ac:dyDescent="0.25">
      <c r="A15" s="4" t="s">
        <v>126</v>
      </c>
      <c r="B15" s="10"/>
      <c r="C15" s="10"/>
      <c r="D15" s="14"/>
      <c r="E15" s="12"/>
      <c r="F15" s="12">
        <v>2</v>
      </c>
      <c r="G15" s="12">
        <v>2</v>
      </c>
      <c r="H15" s="8">
        <v>2</v>
      </c>
    </row>
    <row r="16" spans="1:8" x14ac:dyDescent="0.25">
      <c r="A16" s="4" t="s">
        <v>44</v>
      </c>
      <c r="B16" s="10"/>
      <c r="C16" s="10">
        <v>7</v>
      </c>
      <c r="D16" s="14">
        <v>7</v>
      </c>
      <c r="E16" s="12"/>
      <c r="F16" s="12"/>
      <c r="G16" s="12"/>
      <c r="H16" s="8">
        <v>7</v>
      </c>
    </row>
    <row r="17" spans="1:8" x14ac:dyDescent="0.25">
      <c r="A17" s="4" t="s">
        <v>58</v>
      </c>
      <c r="B17" s="10">
        <v>1</v>
      </c>
      <c r="C17" s="10">
        <v>1</v>
      </c>
      <c r="D17" s="14">
        <v>2</v>
      </c>
      <c r="E17" s="12"/>
      <c r="F17" s="12"/>
      <c r="G17" s="12"/>
      <c r="H17" s="8">
        <v>2</v>
      </c>
    </row>
    <row r="18" spans="1:8" x14ac:dyDescent="0.25">
      <c r="A18" s="4" t="s">
        <v>167</v>
      </c>
      <c r="B18" s="10">
        <v>4</v>
      </c>
      <c r="C18" s="10"/>
      <c r="D18" s="14">
        <v>4</v>
      </c>
      <c r="E18" s="12"/>
      <c r="F18" s="12"/>
      <c r="G18" s="12"/>
      <c r="H18" s="8">
        <v>4</v>
      </c>
    </row>
    <row r="19" spans="1:8" x14ac:dyDescent="0.25">
      <c r="A19" s="4" t="s">
        <v>53</v>
      </c>
      <c r="B19" s="10">
        <v>17</v>
      </c>
      <c r="C19" s="10">
        <v>30</v>
      </c>
      <c r="D19" s="14">
        <v>47</v>
      </c>
      <c r="E19" s="12"/>
      <c r="F19" s="12"/>
      <c r="G19" s="12"/>
      <c r="H19" s="8">
        <v>47</v>
      </c>
    </row>
    <row r="20" spans="1:8" x14ac:dyDescent="0.25">
      <c r="A20" s="4" t="s">
        <v>115</v>
      </c>
      <c r="B20" s="10">
        <v>1</v>
      </c>
      <c r="C20" s="10">
        <v>1</v>
      </c>
      <c r="D20" s="14">
        <v>2</v>
      </c>
      <c r="E20" s="12"/>
      <c r="F20" s="12"/>
      <c r="G20" s="12"/>
      <c r="H20" s="8">
        <v>2</v>
      </c>
    </row>
    <row r="21" spans="1:8" x14ac:dyDescent="0.25">
      <c r="A21" s="4" t="s">
        <v>105</v>
      </c>
      <c r="B21" s="10">
        <v>3</v>
      </c>
      <c r="C21" s="10">
        <v>3</v>
      </c>
      <c r="D21" s="14">
        <v>6</v>
      </c>
      <c r="E21" s="12"/>
      <c r="F21" s="12"/>
      <c r="G21" s="12"/>
      <c r="H21" s="8">
        <v>6</v>
      </c>
    </row>
    <row r="22" spans="1:8" x14ac:dyDescent="0.25">
      <c r="A22" s="4" t="s">
        <v>36</v>
      </c>
      <c r="B22" s="10">
        <v>10</v>
      </c>
      <c r="C22" s="10">
        <v>5</v>
      </c>
      <c r="D22" s="14">
        <v>15</v>
      </c>
      <c r="E22" s="12"/>
      <c r="F22" s="12"/>
      <c r="G22" s="12"/>
      <c r="H22" s="8">
        <v>15</v>
      </c>
    </row>
    <row r="23" spans="1:8" x14ac:dyDescent="0.25">
      <c r="A23" s="4" t="s">
        <v>153</v>
      </c>
      <c r="B23" s="10">
        <v>1</v>
      </c>
      <c r="C23" s="10"/>
      <c r="D23" s="14">
        <v>1</v>
      </c>
      <c r="E23" s="12">
        <v>1</v>
      </c>
      <c r="F23" s="12"/>
      <c r="G23" s="12">
        <v>1</v>
      </c>
      <c r="H23" s="8">
        <v>2</v>
      </c>
    </row>
    <row r="24" spans="1:8" x14ac:dyDescent="0.25">
      <c r="A24" s="4" t="s">
        <v>60</v>
      </c>
      <c r="B24" s="10">
        <v>34</v>
      </c>
      <c r="C24" s="10">
        <v>1</v>
      </c>
      <c r="D24" s="14">
        <v>35</v>
      </c>
      <c r="E24" s="12"/>
      <c r="F24" s="12">
        <v>18</v>
      </c>
      <c r="G24" s="12">
        <v>18</v>
      </c>
      <c r="H24" s="8">
        <v>53</v>
      </c>
    </row>
    <row r="25" spans="1:8" x14ac:dyDescent="0.25">
      <c r="A25" s="4" t="s">
        <v>118</v>
      </c>
      <c r="B25" s="10"/>
      <c r="C25" s="10">
        <v>6</v>
      </c>
      <c r="D25" s="14">
        <v>6</v>
      </c>
      <c r="E25" s="12"/>
      <c r="F25" s="12"/>
      <c r="G25" s="12"/>
      <c r="H25" s="8">
        <v>6</v>
      </c>
    </row>
    <row r="26" spans="1:8" x14ac:dyDescent="0.25">
      <c r="A26" s="4" t="s">
        <v>55</v>
      </c>
      <c r="B26" s="10">
        <v>1</v>
      </c>
      <c r="C26" s="10">
        <v>1</v>
      </c>
      <c r="D26" s="14">
        <v>2</v>
      </c>
      <c r="E26" s="12"/>
      <c r="F26" s="12"/>
      <c r="G26" s="12"/>
      <c r="H26" s="8">
        <v>2</v>
      </c>
    </row>
    <row r="27" spans="1:8" x14ac:dyDescent="0.25">
      <c r="A27" s="4" t="s">
        <v>199</v>
      </c>
      <c r="B27" s="10">
        <v>1</v>
      </c>
      <c r="C27" s="10"/>
      <c r="D27" s="14">
        <v>1</v>
      </c>
      <c r="E27" s="12"/>
      <c r="F27" s="12"/>
      <c r="G27" s="12"/>
      <c r="H27" s="8">
        <v>1</v>
      </c>
    </row>
    <row r="28" spans="1:8" x14ac:dyDescent="0.25">
      <c r="A28" s="4" t="s">
        <v>151</v>
      </c>
      <c r="B28" s="10">
        <v>3</v>
      </c>
      <c r="C28" s="10"/>
      <c r="D28" s="14">
        <v>3</v>
      </c>
      <c r="E28" s="12"/>
      <c r="F28" s="12"/>
      <c r="G28" s="12"/>
      <c r="H28" s="8">
        <v>3</v>
      </c>
    </row>
    <row r="29" spans="1:8" x14ac:dyDescent="0.25">
      <c r="A29" s="4" t="s">
        <v>107</v>
      </c>
      <c r="B29" s="10">
        <v>22</v>
      </c>
      <c r="C29" s="10">
        <v>18</v>
      </c>
      <c r="D29" s="14">
        <v>40</v>
      </c>
      <c r="E29" s="12"/>
      <c r="F29" s="12"/>
      <c r="G29" s="12"/>
      <c r="H29" s="8">
        <v>40</v>
      </c>
    </row>
    <row r="30" spans="1:8" x14ac:dyDescent="0.25">
      <c r="A30" s="4" t="s">
        <v>190</v>
      </c>
      <c r="B30" s="10">
        <v>1</v>
      </c>
      <c r="C30" s="10"/>
      <c r="D30" s="14">
        <v>1</v>
      </c>
      <c r="E30" s="12"/>
      <c r="F30" s="12"/>
      <c r="G30" s="12"/>
      <c r="H30" s="8">
        <v>1</v>
      </c>
    </row>
    <row r="31" spans="1:8" x14ac:dyDescent="0.25">
      <c r="A31" s="4" t="s">
        <v>68</v>
      </c>
      <c r="B31" s="10">
        <v>2</v>
      </c>
      <c r="C31" s="10">
        <v>1</v>
      </c>
      <c r="D31" s="14">
        <v>3</v>
      </c>
      <c r="E31" s="12"/>
      <c r="F31" s="12"/>
      <c r="G31" s="12"/>
      <c r="H31" s="8">
        <v>3</v>
      </c>
    </row>
    <row r="32" spans="1:8" x14ac:dyDescent="0.25">
      <c r="A32" s="4" t="s">
        <v>123</v>
      </c>
      <c r="B32" s="10"/>
      <c r="C32" s="10">
        <v>1</v>
      </c>
      <c r="D32" s="14">
        <v>1</v>
      </c>
      <c r="E32" s="12"/>
      <c r="F32" s="12"/>
      <c r="G32" s="12"/>
      <c r="H32" s="8">
        <v>1</v>
      </c>
    </row>
    <row r="33" spans="1:8" x14ac:dyDescent="0.25">
      <c r="A33" s="4" t="s">
        <v>39</v>
      </c>
      <c r="B33" s="10"/>
      <c r="C33" s="10">
        <v>2</v>
      </c>
      <c r="D33" s="14">
        <v>2</v>
      </c>
      <c r="E33" s="12"/>
      <c r="F33" s="12"/>
      <c r="G33" s="12"/>
      <c r="H33" s="8">
        <v>2</v>
      </c>
    </row>
    <row r="34" spans="1:8" x14ac:dyDescent="0.25">
      <c r="A34" s="4" t="s">
        <v>244</v>
      </c>
      <c r="B34" s="10">
        <v>32</v>
      </c>
      <c r="C34" s="10"/>
      <c r="D34" s="14">
        <v>32</v>
      </c>
      <c r="E34" s="12"/>
      <c r="F34" s="12"/>
      <c r="G34" s="12"/>
      <c r="H34" s="8">
        <v>32</v>
      </c>
    </row>
    <row r="35" spans="1:8" x14ac:dyDescent="0.25">
      <c r="A35" s="4" t="s">
        <v>97</v>
      </c>
      <c r="B35" s="10"/>
      <c r="C35" s="10">
        <v>1</v>
      </c>
      <c r="D35" s="14">
        <v>1</v>
      </c>
      <c r="E35" s="12">
        <v>1</v>
      </c>
      <c r="F35" s="12"/>
      <c r="G35" s="12">
        <v>1</v>
      </c>
      <c r="H35" s="8">
        <v>2</v>
      </c>
    </row>
    <row r="36" spans="1:8" x14ac:dyDescent="0.25">
      <c r="A36" s="4" t="s">
        <v>77</v>
      </c>
      <c r="B36" s="10">
        <v>2</v>
      </c>
      <c r="C36" s="10">
        <v>1</v>
      </c>
      <c r="D36" s="14">
        <v>3</v>
      </c>
      <c r="E36" s="12"/>
      <c r="F36" s="12"/>
      <c r="G36" s="12"/>
      <c r="H36" s="8">
        <v>3</v>
      </c>
    </row>
    <row r="37" spans="1:8" x14ac:dyDescent="0.25">
      <c r="A37" s="4" t="s">
        <v>174</v>
      </c>
      <c r="B37" s="10">
        <v>1</v>
      </c>
      <c r="C37" s="10"/>
      <c r="D37" s="14">
        <v>1</v>
      </c>
      <c r="E37" s="12"/>
      <c r="F37" s="12"/>
      <c r="G37" s="12"/>
      <c r="H37" s="8">
        <v>1</v>
      </c>
    </row>
    <row r="38" spans="1:8" x14ac:dyDescent="0.25">
      <c r="A38" s="4" t="s">
        <v>186</v>
      </c>
      <c r="B38" s="10">
        <v>1</v>
      </c>
      <c r="C38" s="10"/>
      <c r="D38" s="14">
        <v>1</v>
      </c>
      <c r="E38" s="12"/>
      <c r="F38" s="12"/>
      <c r="G38" s="12"/>
      <c r="H38" s="8">
        <v>1</v>
      </c>
    </row>
    <row r="39" spans="1:8" x14ac:dyDescent="0.25">
      <c r="A39" s="4" t="s">
        <v>62</v>
      </c>
      <c r="B39" s="10">
        <v>1</v>
      </c>
      <c r="C39" s="10">
        <v>3</v>
      </c>
      <c r="D39" s="14">
        <v>4</v>
      </c>
      <c r="E39" s="12"/>
      <c r="F39" s="12"/>
      <c r="G39" s="12"/>
      <c r="H39" s="8">
        <v>4</v>
      </c>
    </row>
    <row r="40" spans="1:8" x14ac:dyDescent="0.25">
      <c r="A40" s="4" t="s">
        <v>66</v>
      </c>
      <c r="B40" s="10"/>
      <c r="C40" s="10">
        <v>1</v>
      </c>
      <c r="D40" s="14">
        <v>1</v>
      </c>
      <c r="E40" s="12"/>
      <c r="F40" s="12"/>
      <c r="G40" s="12"/>
      <c r="H40" s="8">
        <v>1</v>
      </c>
    </row>
    <row r="41" spans="1:8" x14ac:dyDescent="0.25">
      <c r="A41" s="4" t="s">
        <v>41</v>
      </c>
      <c r="B41" s="10">
        <v>9</v>
      </c>
      <c r="C41" s="10">
        <v>8</v>
      </c>
      <c r="D41" s="14">
        <v>17</v>
      </c>
      <c r="E41" s="12"/>
      <c r="F41" s="12"/>
      <c r="G41" s="12"/>
      <c r="H41" s="8">
        <v>17</v>
      </c>
    </row>
    <row r="42" spans="1:8" x14ac:dyDescent="0.25">
      <c r="A42" s="4" t="s">
        <v>221</v>
      </c>
      <c r="B42" s="10">
        <v>1</v>
      </c>
      <c r="C42" s="10"/>
      <c r="D42" s="14">
        <v>1</v>
      </c>
      <c r="E42" s="12"/>
      <c r="F42" s="12"/>
      <c r="G42" s="12"/>
      <c r="H42" s="8">
        <v>1</v>
      </c>
    </row>
    <row r="43" spans="1:8" x14ac:dyDescent="0.25">
      <c r="A43" s="4" t="s">
        <v>164</v>
      </c>
      <c r="B43" s="10">
        <v>1</v>
      </c>
      <c r="C43" s="10"/>
      <c r="D43" s="14">
        <v>1</v>
      </c>
      <c r="E43" s="12"/>
      <c r="F43" s="12"/>
      <c r="G43" s="12"/>
      <c r="H43" s="8">
        <v>1</v>
      </c>
    </row>
    <row r="44" spans="1:8" x14ac:dyDescent="0.25">
      <c r="A44" s="4" t="s">
        <v>83</v>
      </c>
      <c r="B44" s="10">
        <v>28</v>
      </c>
      <c r="C44" s="10">
        <v>10</v>
      </c>
      <c r="D44" s="14">
        <v>38</v>
      </c>
      <c r="E44" s="12"/>
      <c r="F44" s="12"/>
      <c r="G44" s="12"/>
      <c r="H44" s="8">
        <v>38</v>
      </c>
    </row>
    <row r="45" spans="1:8" x14ac:dyDescent="0.25">
      <c r="A45" s="4" t="s">
        <v>183</v>
      </c>
      <c r="B45" s="10">
        <v>4</v>
      </c>
      <c r="C45" s="10"/>
      <c r="D45" s="14">
        <v>4</v>
      </c>
      <c r="E45" s="12"/>
      <c r="F45" s="12"/>
      <c r="G45" s="12"/>
      <c r="H45" s="8">
        <v>4</v>
      </c>
    </row>
    <row r="46" spans="1:8" x14ac:dyDescent="0.25">
      <c r="A46" s="4" t="s">
        <v>87</v>
      </c>
      <c r="B46" s="10">
        <v>2</v>
      </c>
      <c r="C46" s="10">
        <v>2</v>
      </c>
      <c r="D46" s="14">
        <v>4</v>
      </c>
      <c r="E46" s="12"/>
      <c r="F46" s="12"/>
      <c r="G46" s="12"/>
      <c r="H46" s="8">
        <v>4</v>
      </c>
    </row>
    <row r="47" spans="1:8" x14ac:dyDescent="0.25">
      <c r="A47" s="4" t="s">
        <v>47</v>
      </c>
      <c r="B47" s="10">
        <v>7</v>
      </c>
      <c r="C47" s="10">
        <v>1</v>
      </c>
      <c r="D47" s="14">
        <v>8</v>
      </c>
      <c r="E47" s="12"/>
      <c r="F47" s="12"/>
      <c r="G47" s="12"/>
      <c r="H47" s="8">
        <v>8</v>
      </c>
    </row>
    <row r="48" spans="1:8" x14ac:dyDescent="0.25">
      <c r="A48" s="4" t="s">
        <v>31</v>
      </c>
      <c r="B48" s="10">
        <v>10</v>
      </c>
      <c r="C48" s="10">
        <v>4</v>
      </c>
      <c r="D48" s="14">
        <v>14</v>
      </c>
      <c r="E48" s="12"/>
      <c r="F48" s="12"/>
      <c r="G48" s="12"/>
      <c r="H48" s="8">
        <v>14</v>
      </c>
    </row>
    <row r="49" spans="1:8" x14ac:dyDescent="0.25">
      <c r="A49" s="15" t="s">
        <v>258</v>
      </c>
      <c r="B49" s="16">
        <v>1</v>
      </c>
      <c r="C49" s="16"/>
      <c r="D49" s="17">
        <v>1</v>
      </c>
      <c r="E49" s="12"/>
      <c r="F49" s="12"/>
      <c r="G49" s="12"/>
      <c r="H49" s="8">
        <v>1</v>
      </c>
    </row>
    <row r="50" spans="1:8" x14ac:dyDescent="0.25">
      <c r="A50" s="4" t="s">
        <v>85</v>
      </c>
      <c r="B50" s="10">
        <v>3</v>
      </c>
      <c r="C50" s="10">
        <v>3</v>
      </c>
      <c r="D50" s="14">
        <v>6</v>
      </c>
      <c r="E50" s="12"/>
      <c r="F50" s="12"/>
      <c r="G50" s="12"/>
      <c r="H50" s="8">
        <v>6</v>
      </c>
    </row>
    <row r="51" spans="1:8" x14ac:dyDescent="0.25">
      <c r="A51" s="4" t="s">
        <v>81</v>
      </c>
      <c r="B51" s="10">
        <v>5</v>
      </c>
      <c r="C51" s="10">
        <v>30</v>
      </c>
      <c r="D51" s="14">
        <v>35</v>
      </c>
      <c r="E51" s="12"/>
      <c r="F51" s="12"/>
      <c r="G51" s="12"/>
      <c r="H51" s="8">
        <v>35</v>
      </c>
    </row>
    <row r="52" spans="1:8" x14ac:dyDescent="0.25">
      <c r="A52" s="4" t="s">
        <v>75</v>
      </c>
      <c r="B52" s="10"/>
      <c r="C52" s="10">
        <v>3</v>
      </c>
      <c r="D52" s="14">
        <v>3</v>
      </c>
      <c r="E52" s="12"/>
      <c r="F52" s="12"/>
      <c r="G52" s="12"/>
      <c r="H52" s="8">
        <v>3</v>
      </c>
    </row>
    <row r="53" spans="1:8" x14ac:dyDescent="0.25">
      <c r="A53" s="4" t="s">
        <v>206</v>
      </c>
      <c r="B53" s="10">
        <v>1</v>
      </c>
      <c r="C53" s="10"/>
      <c r="D53" s="14">
        <v>1</v>
      </c>
      <c r="E53" s="12"/>
      <c r="F53" s="12"/>
      <c r="G53" s="12"/>
      <c r="H53" s="8">
        <v>1</v>
      </c>
    </row>
    <row r="54" spans="1:8" x14ac:dyDescent="0.25">
      <c r="A54" s="4" t="s">
        <v>79</v>
      </c>
      <c r="B54" s="10"/>
      <c r="C54" s="10">
        <v>2</v>
      </c>
      <c r="D54" s="14">
        <v>2</v>
      </c>
      <c r="E54" s="12"/>
      <c r="F54" s="12"/>
      <c r="G54" s="12"/>
      <c r="H54" s="8">
        <v>2</v>
      </c>
    </row>
    <row r="55" spans="1:8" x14ac:dyDescent="0.25">
      <c r="A55" s="4" t="s">
        <v>218</v>
      </c>
      <c r="B55" s="10">
        <v>2</v>
      </c>
      <c r="C55" s="10"/>
      <c r="D55" s="14">
        <v>2</v>
      </c>
      <c r="E55" s="12"/>
      <c r="F55" s="12"/>
      <c r="G55" s="12"/>
      <c r="H55" s="8">
        <v>2</v>
      </c>
    </row>
    <row r="56" spans="1:8" x14ac:dyDescent="0.25">
      <c r="A56" s="4" t="s">
        <v>204</v>
      </c>
      <c r="B56" s="10">
        <v>2</v>
      </c>
      <c r="C56" s="10"/>
      <c r="D56" s="14">
        <v>2</v>
      </c>
      <c r="E56" s="12"/>
      <c r="F56" s="12"/>
      <c r="G56" s="12"/>
      <c r="H56" s="8">
        <v>2</v>
      </c>
    </row>
    <row r="57" spans="1:8" x14ac:dyDescent="0.25">
      <c r="A57" s="4" t="s">
        <v>262</v>
      </c>
      <c r="B57" s="10">
        <v>246</v>
      </c>
      <c r="C57" s="10">
        <v>174</v>
      </c>
      <c r="D57" s="14">
        <v>420</v>
      </c>
      <c r="E57" s="12">
        <v>2</v>
      </c>
      <c r="F57" s="12">
        <v>22</v>
      </c>
      <c r="G57" s="12">
        <v>24</v>
      </c>
      <c r="H57" s="8">
        <v>444</v>
      </c>
    </row>
  </sheetData>
  <mergeCells count="2">
    <mergeCell ref="E2:G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CL_Bird_Observations_20180917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2018-09-17T13:22:11Z</dcterms:created>
  <dcterms:modified xsi:type="dcterms:W3CDTF">2018-09-21T22:31:24Z</dcterms:modified>
</cp:coreProperties>
</file>